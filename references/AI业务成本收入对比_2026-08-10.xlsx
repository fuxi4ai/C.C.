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总表" sheetId="1" state="visible" r:id="rId3"/>
    <sheet name="成本明细" sheetId="2" state="visible" r:id="rId4"/>
    <sheet name="口径与信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<sst xmlns="http://schemas.openxmlformats.org/spreadsheetml/2006/main" count="246" uniqueCount="152">
  <si>
    <t xml:space="preserve">公司</t>
  </si>
  <si>
    <r>
      <rPr>
        <b val="true"/>
        <sz val="10"/>
        <color rgb="FFFFFFFF"/>
        <rFont val="Noto Sans CJK SC"/>
        <family val="2"/>
      </rPr>
      <t xml:space="preserve">年度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口径</t>
    </r>
  </si>
  <si>
    <t xml:space="preserve">收入</t>
  </si>
  <si>
    <t xml:space="preserve">单位</t>
  </si>
  <si>
    <t xml:space="preserve">收入构成</t>
  </si>
  <si>
    <r>
      <rPr>
        <b val="true"/>
        <sz val="10"/>
        <color rgb="FFFFFFFF"/>
        <rFont val="Noto Sans CJK SC"/>
        <family val="2"/>
      </rPr>
      <t xml:space="preserve">毛利率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不含研发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</si>
  <si>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经营利润率</t>
  </si>
  <si>
    <t xml:space="preserve">净利率</t>
  </si>
  <si>
    <t xml:space="preserve">成本结构要点</t>
  </si>
  <si>
    <t xml:space="preserve">信源分级</t>
  </si>
  <si>
    <t xml:space="preserve">OpenAI</t>
  </si>
  <si>
    <t xml:space="preserve">2025</t>
  </si>
  <si>
    <t xml:space="preserve">USD B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</si>
  <si>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订阅</t>
    </r>
    <r>
      <rPr>
        <sz val="10"/>
        <rFont val="Arial"/>
        <family val="0"/>
        <charset val="1"/>
      </rPr>
      <t xml:space="preserve">+API+</t>
    </r>
    <r>
      <rPr>
        <sz val="10"/>
        <rFont val="Noto Sans CJK SC"/>
        <family val="2"/>
      </rPr>
      <t xml:space="preserve">企业（未完整拆分）</t>
    </r>
  </si>
  <si>
    <r>
      <rPr>
        <sz val="10"/>
        <rFont val="Noto Sans CJK SC"/>
        <family val="2"/>
      </rPr>
      <t xml:space="preserve">研发 </t>
    </r>
    <r>
      <rPr>
        <sz val="10"/>
        <rFont val="Arial"/>
        <family val="0"/>
        <charset val="1"/>
      </rPr>
      <t xml:space="preserve">$19.18B </t>
    </r>
    <r>
      <rPr>
        <sz val="10"/>
        <rFont val="Noto Sans CJK SC"/>
        <family val="2"/>
      </rPr>
      <t xml:space="preserve">为最大成本项（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1.5 </t>
    </r>
    <r>
      <rPr>
        <sz val="10"/>
        <rFont val="Noto Sans CJK SC"/>
        <family val="2"/>
      </rPr>
      <t xml:space="preserve">倍）；</t>
    </r>
    <r>
      <rPr>
        <sz val="10"/>
        <rFont val="Arial"/>
        <family val="0"/>
        <charset val="1"/>
      </rPr>
      <t xml:space="preserve">COGS $7.5B </t>
    </r>
    <r>
      <rPr>
        <sz val="10"/>
        <rFont val="Noto Sans CJK SC"/>
        <family val="2"/>
      </rPr>
      <t xml:space="preserve">主要为推理算力；全年总成本 </t>
    </r>
    <r>
      <rPr>
        <sz val="10"/>
        <rFont val="Arial"/>
        <family val="0"/>
        <charset val="1"/>
      </rPr>
      <t xml:space="preserve">$34B</t>
    </r>
    <r>
      <rPr>
        <sz val="10"/>
        <rFont val="Noto Sans CJK SC"/>
        <family val="2"/>
      </rPr>
      <t xml:space="preserve">；付微软算力费 </t>
    </r>
    <r>
      <rPr>
        <sz val="10"/>
        <rFont val="Arial"/>
        <family val="0"/>
        <charset val="1"/>
      </rPr>
      <t xml:space="preserve">$10.59B</t>
    </r>
    <r>
      <rPr>
        <sz val="10"/>
        <rFont val="Noto Sans CJK SC"/>
        <family val="2"/>
      </rPr>
      <t xml:space="preserve">；电力不单列</t>
    </r>
  </si>
  <si>
    <r>
      <rPr>
        <sz val="10"/>
        <rFont val="Arial"/>
        <family val="0"/>
        <charset val="1"/>
      </rPr>
      <t xml:space="preserve">P1- </t>
    </r>
    <r>
      <rPr>
        <sz val="10"/>
        <rFont val="Noto Sans CJK SC"/>
        <family val="2"/>
      </rPr>
      <t xml:space="preserve">独家获得财务文件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未经审计</t>
    </r>
    <r>
      <rPr>
        <sz val="10"/>
        <rFont val="Arial"/>
        <family val="0"/>
        <charset val="1"/>
      </rPr>
      <t xml:space="preserve">(Where's Your Ed At)</t>
    </r>
  </si>
  <si>
    <t xml:space="preserve">2024</t>
  </si>
  <si>
    <t xml:space="preserve">同上</t>
  </si>
  <si>
    <r>
      <rPr>
        <sz val="10"/>
        <rFont val="Noto Sans CJK SC"/>
        <family val="2"/>
      </rPr>
      <t xml:space="preserve">研发 </t>
    </r>
    <r>
      <rPr>
        <sz val="10"/>
        <rFont val="Arial"/>
        <family val="0"/>
        <charset val="1"/>
      </rPr>
      <t xml:space="preserve">$7.81B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COGS $2.65B</t>
    </r>
  </si>
  <si>
    <t xml:space="preserve">Anthropic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</si>
  <si>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年末年化</t>
    </r>
  </si>
  <si>
    <r>
      <rPr>
        <sz val="10"/>
        <rFont val="Arial"/>
        <family val="0"/>
        <charset val="1"/>
      </rPr>
      <t xml:space="preserve">USD B·</t>
    </r>
    <r>
      <rPr>
        <sz val="10"/>
        <rFont val="Noto Sans CJK SC"/>
        <family val="2"/>
      </rPr>
      <t xml:space="preserve">年化</t>
    </r>
  </si>
  <si>
    <r>
      <rPr>
        <sz val="10"/>
        <rFont val="Noto Sans CJK SC"/>
        <family val="2"/>
      </rPr>
      <t xml:space="preserve">企业</t>
    </r>
    <r>
      <rPr>
        <sz val="10"/>
        <rFont val="Arial"/>
        <family val="0"/>
        <charset val="1"/>
      </rPr>
      <t xml:space="preserve">/API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80-85%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1000+ </t>
    </r>
    <r>
      <rPr>
        <sz val="10"/>
        <rFont val="Noto Sans CJK SC"/>
        <family val="2"/>
      </rPr>
      <t xml:space="preserve">客户年付超 </t>
    </r>
    <r>
      <rPr>
        <sz val="10"/>
        <rFont val="Arial"/>
        <family val="0"/>
        <charset val="1"/>
      </rPr>
      <t xml:space="preserve">$1M</t>
    </r>
  </si>
  <si>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（公司投资者口径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报道；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-94%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2026E≈44%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目标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）</t>
    </r>
  </si>
  <si>
    <t xml:space="preserve">—</t>
  </si>
  <si>
    <r>
      <rPr>
        <sz val="10"/>
        <rFont val="Noto Sans CJK SC"/>
        <family val="2"/>
      </rPr>
      <t xml:space="preserve">云基础设施承诺 </t>
    </r>
    <r>
      <rPr>
        <sz val="10"/>
        <rFont val="Arial"/>
        <family val="0"/>
        <charset val="1"/>
      </rPr>
      <t xml:space="preserve">~$80B</t>
    </r>
    <r>
      <rPr>
        <sz val="10"/>
        <rFont val="Noto Sans CJK SC"/>
        <family val="2"/>
      </rPr>
      <t xml:space="preserve">（至 </t>
    </r>
    <r>
      <rPr>
        <sz val="10"/>
        <rFont val="Arial"/>
        <family val="0"/>
        <charset val="1"/>
      </rPr>
      <t xml:space="preserve">2029·AWS+Google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2026E </t>
    </r>
    <r>
      <rPr>
        <sz val="10"/>
        <rFont val="Noto Sans CJK SC"/>
        <family val="2"/>
      </rPr>
      <t xml:space="preserve">净亏 </t>
    </r>
    <r>
      <rPr>
        <sz val="10"/>
        <rFont val="Arial"/>
        <family val="0"/>
        <charset val="1"/>
      </rPr>
      <t xml:space="preserve">~$2B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burn≈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2021-25 </t>
    </r>
    <r>
      <rPr>
        <sz val="10"/>
        <rFont val="Noto Sans CJK SC"/>
        <family val="2"/>
      </rPr>
      <t xml:space="preserve">累计亏损估 </t>
    </r>
    <r>
      <rPr>
        <sz val="10"/>
        <rFont val="Arial"/>
        <family val="0"/>
        <charset val="1"/>
      </rPr>
      <t xml:space="preserve">$10-15B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run-rate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$14B→4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$30B→5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$47B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H·</t>
    </r>
    <r>
      <rPr>
        <sz val="10"/>
        <rFont val="Noto Sans CJK SC"/>
        <family val="2"/>
      </rPr>
      <t xml:space="preserve">估值 </t>
    </r>
    <r>
      <rPr>
        <sz val="10"/>
        <rFont val="Arial"/>
        <family val="0"/>
        <charset val="1"/>
      </rPr>
      <t xml:space="preserve">$965B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</si>
  <si>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P1/P2 </t>
    </r>
    <r>
      <rPr>
        <sz val="10"/>
        <rFont val="Noto Sans CJK SC"/>
        <family val="2"/>
      </rPr>
      <t xml:space="preserve">融资披露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报道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未经审计</t>
    </r>
  </si>
  <si>
    <r>
      <rPr>
        <sz val="10"/>
        <rFont val="Arial"/>
        <family val="0"/>
        <charset val="1"/>
      </rPr>
      <t xml:space="preserve">xAI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SpaceX </t>
    </r>
    <r>
      <rPr>
        <sz val="10"/>
        <rFont val="Noto Sans CJK SC"/>
        <family val="2"/>
      </rPr>
      <t xml:space="preserve">分部）</t>
    </r>
  </si>
  <si>
    <r>
      <rPr>
        <sz val="10"/>
        <rFont val="Noto Sans CJK SC"/>
        <family val="2"/>
      </rPr>
      <t xml:space="preserve">⚠ 含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广告收入，纯 </t>
    </r>
    <r>
      <rPr>
        <sz val="10"/>
        <rFont val="Arial"/>
        <family val="0"/>
        <charset val="1"/>
      </rPr>
      <t xml:space="preserve">AI(Grok </t>
    </r>
    <r>
      <rPr>
        <sz val="10"/>
        <rFont val="Noto Sans CJK SC"/>
        <family val="2"/>
      </rPr>
      <t xml:space="preserve">订阅</t>
    </r>
    <r>
      <rPr>
        <sz val="10"/>
        <rFont val="Arial"/>
        <family val="0"/>
        <charset val="1"/>
      </rPr>
      <t xml:space="preserve">/API) </t>
    </r>
    <r>
      <rPr>
        <sz val="10"/>
        <rFont val="Noto Sans CJK SC"/>
        <family val="2"/>
      </rPr>
      <t xml:space="preserve">占少数；</t>
    </r>
    <r>
      <rPr>
        <sz val="10"/>
        <rFont val="Arial"/>
        <family val="0"/>
        <charset val="1"/>
      </rPr>
      <t xml:space="preserve">Grok 117M MAU</t>
    </r>
    <r>
      <rPr>
        <sz val="10"/>
        <rFont val="Noto Sans CJK SC"/>
        <family val="2"/>
      </rPr>
      <t xml:space="preserve">、仅 </t>
    </r>
    <r>
      <rPr>
        <sz val="10"/>
        <rFont val="Arial"/>
        <family val="0"/>
        <charset val="1"/>
      </rPr>
      <t xml:space="preserve">1.9M </t>
    </r>
    <r>
      <rPr>
        <sz val="10"/>
        <rFont val="Noto Sans CJK SC"/>
        <family val="2"/>
      </rPr>
      <t xml:space="preserve">付费</t>
    </r>
  </si>
  <si>
    <r>
      <rPr>
        <sz val="10"/>
        <rFont val="Noto Sans CJK SC"/>
        <family val="2"/>
      </rPr>
      <t xml:space="preserve">—（</t>
    </r>
    <r>
      <rPr>
        <sz val="10"/>
        <rFont val="Arial"/>
        <family val="0"/>
        <charset val="1"/>
      </rPr>
      <t xml:space="preserve">S-1 </t>
    </r>
    <r>
      <rPr>
        <sz val="10"/>
        <rFont val="Noto Sans CJK SC"/>
        <family val="2"/>
      </rPr>
      <t xml:space="preserve">未拆毛利）</t>
    </r>
  </si>
  <si>
    <r>
      <rPr>
        <sz val="10"/>
        <rFont val="Arial"/>
        <family val="0"/>
        <charset val="1"/>
      </rPr>
      <t xml:space="preserve">capex $12.7B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Colossus </t>
    </r>
    <r>
      <rPr>
        <sz val="10"/>
        <rFont val="Noto Sans CJK SC"/>
        <family val="2"/>
      </rPr>
      <t xml:space="preserve">数据中心）；</t>
    </r>
    <r>
      <rPr>
        <sz val="10"/>
        <rFont val="Arial"/>
        <family val="0"/>
        <charset val="1"/>
      </rPr>
      <t xml:space="preserve">2026Q1 capex $7.7B</t>
    </r>
    <r>
      <rPr>
        <sz val="10"/>
        <rFont val="Noto Sans CJK SC"/>
        <family val="2"/>
      </rPr>
      <t xml:space="preserve">（年化 </t>
    </r>
    <r>
      <rPr>
        <sz val="10"/>
        <rFont val="Arial"/>
        <family val="0"/>
        <charset val="1"/>
      </rPr>
      <t xml:space="preserve">~$30B</t>
    </r>
    <r>
      <rPr>
        <sz val="10"/>
        <rFont val="Noto Sans CJK SC"/>
        <family val="2"/>
      </rPr>
      <t xml:space="preserve">）；经营亏损 </t>
    </r>
    <r>
      <rPr>
        <sz val="10"/>
        <rFont val="Arial"/>
        <family val="0"/>
        <charset val="1"/>
      </rPr>
      <t xml:space="preserve">$6.4B</t>
    </r>
  </si>
  <si>
    <r>
      <rPr>
        <sz val="10"/>
        <rFont val="Arial"/>
        <family val="0"/>
        <charset val="1"/>
      </rPr>
      <t xml:space="preserve">P0/P1 SpaceX IPO </t>
    </r>
    <r>
      <rPr>
        <sz val="10"/>
        <rFont val="Noto Sans CJK SC"/>
        <family val="2"/>
      </rPr>
      <t xml:space="preserve">招股书（</t>
    </r>
    <r>
      <rPr>
        <sz val="10"/>
        <rFont val="Arial"/>
        <family val="0"/>
        <charset val="1"/>
      </rPr>
      <t xml:space="preserve">S-1</t>
    </r>
    <r>
      <rPr>
        <sz val="10"/>
        <rFont val="Noto Sans CJK SC"/>
        <family val="2"/>
      </rPr>
      <t xml:space="preserve">）转述</t>
    </r>
  </si>
  <si>
    <t xml:space="preserve">2026 Q1</t>
  </si>
  <si>
    <r>
      <rPr>
        <sz val="10"/>
        <rFont val="Noto Sans CJK SC"/>
        <family val="2"/>
      </rPr>
      <t xml:space="preserve">单季经营亏损 </t>
    </r>
    <r>
      <rPr>
        <sz val="10"/>
        <rFont val="Arial"/>
        <family val="0"/>
        <charset val="1"/>
      </rPr>
      <t xml:space="preserve">$2.47B</t>
    </r>
    <r>
      <rPr>
        <sz val="10"/>
        <rFont val="Noto Sans CJK SC"/>
        <family val="2"/>
      </rPr>
      <t xml:space="preserve">（占 </t>
    </r>
    <r>
      <rPr>
        <sz val="10"/>
        <rFont val="Arial"/>
        <family val="0"/>
        <charset val="1"/>
      </rPr>
      <t xml:space="preserve">SpaceX </t>
    </r>
    <r>
      <rPr>
        <sz val="10"/>
        <rFont val="Noto Sans CJK SC"/>
        <family val="2"/>
      </rPr>
      <t xml:space="preserve">当季收入 </t>
    </r>
    <r>
      <rPr>
        <sz val="10"/>
        <rFont val="Arial"/>
        <family val="0"/>
        <charset val="1"/>
      </rPr>
      <t xml:space="preserve">17%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</si>
  <si>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SpaceX </t>
    </r>
    <r>
      <rPr>
        <sz val="10"/>
        <rFont val="Noto Sans CJK SC"/>
        <family val="2"/>
      </rPr>
      <t xml:space="preserve">集团</t>
    </r>
  </si>
  <si>
    <r>
      <rPr>
        <sz val="10"/>
        <rFont val="Noto Sans CJK SC"/>
        <family val="2"/>
      </rPr>
      <t xml:space="preserve">发射</t>
    </r>
    <r>
      <rPr>
        <sz val="10"/>
        <rFont val="Arial"/>
        <family val="0"/>
        <charset val="1"/>
      </rPr>
      <t xml:space="preserve">+Starlink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9.2M+ </t>
    </r>
    <r>
      <rPr>
        <sz val="10"/>
        <rFont val="Noto Sans CJK SC"/>
        <family val="2"/>
      </rPr>
      <t xml:space="preserve">用户）</t>
    </r>
    <r>
      <rPr>
        <sz val="10"/>
        <rFont val="Arial"/>
        <family val="0"/>
        <charset val="1"/>
      </rPr>
      <t xml:space="preserve">+xAI</t>
    </r>
  </si>
  <si>
    <r>
      <rPr>
        <sz val="10"/>
        <rFont val="Arial"/>
        <family val="0"/>
        <charset val="1"/>
      </rPr>
      <t xml:space="preserve">EBITDA $7.5B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margin≈47%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Starlink EBITDA margin≈63%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2026-02 </t>
    </r>
    <r>
      <rPr>
        <sz val="10"/>
        <rFont val="Noto Sans CJK SC"/>
        <family val="2"/>
      </rPr>
      <t xml:space="preserve">合并 </t>
    </r>
    <r>
      <rPr>
        <sz val="10"/>
        <rFont val="Arial"/>
        <family val="0"/>
        <charset val="1"/>
      </rPr>
      <t xml:space="preserve">xAI</t>
    </r>
    <r>
      <rPr>
        <sz val="10"/>
        <rFont val="Noto Sans CJK SC"/>
        <family val="2"/>
      </rPr>
      <t xml:space="preserve">，合并估值 </t>
    </r>
    <r>
      <rPr>
        <sz val="10"/>
        <rFont val="Arial"/>
        <family val="0"/>
        <charset val="1"/>
      </rPr>
      <t xml:space="preserve">$1.25T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IPO </t>
    </r>
    <r>
      <rPr>
        <sz val="10"/>
        <rFont val="Noto Sans CJK SC"/>
        <family val="2"/>
      </rPr>
      <t xml:space="preserve">目标 </t>
    </r>
    <r>
      <rPr>
        <sz val="10"/>
        <rFont val="Arial"/>
        <family val="0"/>
        <charset val="1"/>
      </rPr>
      <t xml:space="preserve">$1.5-1.75T</t>
    </r>
  </si>
  <si>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报道</t>
    </r>
  </si>
  <si>
    <t xml:space="preserve">微软（集团）</t>
  </si>
  <si>
    <r>
      <rPr>
        <sz val="10"/>
        <rFont val="Arial"/>
        <family val="0"/>
        <charset val="1"/>
      </rPr>
      <t xml:space="preserve">FY2026</t>
    </r>
    <r>
      <rPr>
        <sz val="10"/>
        <rFont val="Noto Sans CJK SC"/>
        <family val="2"/>
      </rPr>
      <t xml:space="preserve">（至 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</si>
  <si>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年收入首破 </t>
    </r>
    <r>
      <rPr>
        <sz val="10"/>
        <rFont val="Arial"/>
        <family val="0"/>
        <charset val="1"/>
      </rPr>
      <t xml:space="preserve">$100B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+41%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业务年化 </t>
    </r>
    <r>
      <rPr>
        <sz val="10"/>
        <rFont val="Arial"/>
        <family val="0"/>
        <charset val="1"/>
      </rPr>
      <t xml:space="preserve">$37B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+123%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M365 Copilot </t>
    </r>
    <r>
      <rPr>
        <sz val="10"/>
        <rFont val="Noto Sans CJK SC"/>
        <family val="2"/>
      </rPr>
      <t xml:space="preserve">付费席 </t>
    </r>
    <r>
      <rPr>
        <sz val="10"/>
        <rFont val="Arial"/>
        <family val="0"/>
        <charset val="1"/>
      </rPr>
      <t xml:space="preserve">3000 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+</t>
    </r>
  </si>
  <si>
    <r>
      <rPr>
        <sz val="10"/>
        <rFont val="Noto Sans CJK SC"/>
        <family val="2"/>
      </rPr>
      <t xml:space="preserve">—（云分部毛利不单列；</t>
    </r>
    <r>
      <rPr>
        <sz val="10"/>
        <rFont val="Arial"/>
        <family val="0"/>
        <charset val="1"/>
      </rPr>
      <t xml:space="preserve">Microsoft Cloud </t>
    </r>
    <r>
      <rPr>
        <sz val="10"/>
        <rFont val="Noto Sans CJK SC"/>
        <family val="2"/>
      </rPr>
      <t xml:space="preserve">毛利率 </t>
    </r>
    <r>
      <rPr>
        <sz val="10"/>
        <rFont val="Arial"/>
        <family val="0"/>
        <charset val="1"/>
      </rPr>
      <t xml:space="preserve">FY25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69%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受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基建摊薄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精确值缺）</t>
    </r>
  </si>
  <si>
    <r>
      <rPr>
        <sz val="10"/>
        <rFont val="Arial"/>
        <family val="0"/>
        <charset val="1"/>
      </rPr>
      <t xml:space="preserve">FY capex $115.9B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Q4 $41B·2/3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GPU/CPU </t>
    </r>
    <r>
      <rPr>
        <sz val="10"/>
        <rFont val="Noto Sans CJK SC"/>
        <family val="2"/>
      </rPr>
      <t xml:space="preserve">短寿命资产）；</t>
    </r>
    <r>
      <rPr>
        <sz val="10"/>
        <rFont val="Arial"/>
        <family val="0"/>
        <charset val="1"/>
      </rPr>
      <t xml:space="preserve">FY27Q1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&gt;$50B</t>
    </r>
    <r>
      <rPr>
        <sz val="10"/>
        <rFont val="Noto Sans CJK SC"/>
        <family val="2"/>
      </rPr>
      <t xml:space="preserve">；商业 </t>
    </r>
    <r>
      <rPr>
        <sz val="10"/>
        <rFont val="Arial"/>
        <family val="0"/>
        <charset val="1"/>
      </rPr>
      <t xml:space="preserve">RPO $678B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+84%</t>
    </r>
    <r>
      <rPr>
        <sz val="10"/>
        <rFont val="Noto Sans CJK SC"/>
        <family val="2"/>
      </rPr>
      <t xml:space="preserve">）；折旧未单列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</si>
  <si>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财报</t>
    </r>
    <r>
      <rPr>
        <sz val="10"/>
        <rFont val="Arial"/>
        <family val="0"/>
        <charset val="1"/>
      </rPr>
      <t xml:space="preserve">/IR</t>
    </r>
  </si>
  <si>
    <r>
      <rPr>
        <sz val="10"/>
        <rFont val="Arial"/>
        <family val="0"/>
        <charset val="1"/>
      </rPr>
      <t xml:space="preserve">Alphabet</t>
    </r>
    <r>
      <rPr>
        <sz val="10"/>
        <rFont val="Noto Sans CJK SC"/>
        <family val="2"/>
      </rPr>
      <t xml:space="preserve">（集团）</t>
    </r>
  </si>
  <si>
    <t xml:space="preserve">FY2025</t>
  </si>
  <si>
    <t xml:space="preserve">Google Services $350B+Cloud $58.7B+Other Bets</t>
  </si>
  <si>
    <r>
      <rPr>
        <sz val="10"/>
        <rFont val="Noto Sans CJK SC"/>
        <family val="2"/>
      </rPr>
      <t xml:space="preserve">—（集团毛利率约 </t>
    </r>
    <r>
      <rPr>
        <sz val="10"/>
        <rFont val="Arial"/>
        <family val="0"/>
        <charset val="1"/>
      </rPr>
      <t xml:space="preserve">57-58%·</t>
    </r>
    <r>
      <rPr>
        <sz val="10"/>
        <rFont val="Noto Sans CJK SC"/>
        <family val="2"/>
      </rPr>
      <t xml:space="preserve">未单列披露口径差异）</t>
    </r>
  </si>
  <si>
    <r>
      <rPr>
        <sz val="10"/>
        <rFont val="Arial"/>
        <family val="0"/>
        <charset val="1"/>
      </rPr>
      <t xml:space="preserve">capex $91.4B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+74%</t>
    </r>
    <r>
      <rPr>
        <sz val="10"/>
        <rFont val="Noto Sans CJK SC"/>
        <family val="2"/>
      </rPr>
      <t xml:space="preserve">）；折旧 </t>
    </r>
    <r>
      <rPr>
        <sz val="10"/>
        <rFont val="Arial"/>
        <family val="0"/>
        <charset val="1"/>
      </rPr>
      <t xml:space="preserve">$21.1B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2024: $15.3B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+38%</t>
    </r>
    <r>
      <rPr>
        <sz val="10"/>
        <rFont val="Noto Sans CJK SC"/>
        <family val="2"/>
      </rPr>
      <t xml:space="preserve">）；服务器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年折旧、约占基建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~$175-205B</t>
    </r>
    <r>
      <rPr>
        <sz val="10"/>
        <rFont val="Noto Sans CJK SC"/>
        <family val="2"/>
      </rPr>
      <t xml:space="preserve">；电力含在数据中心成本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不单列</t>
    </r>
  </si>
  <si>
    <t xml:space="preserve">P0 10-K/8-K</t>
  </si>
  <si>
    <t xml:space="preserve">Google Cloud</t>
  </si>
  <si>
    <r>
      <rPr>
        <sz val="10"/>
        <rFont val="Arial"/>
        <family val="0"/>
        <charset val="1"/>
      </rPr>
      <t xml:space="preserve">GCP</t>
    </r>
    <r>
      <rPr>
        <sz val="10"/>
        <rFont val="Noto Sans CJK SC"/>
        <family val="2"/>
      </rPr>
      <t xml:space="preserve">（企业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基建</t>
    </r>
    <r>
      <rPr>
        <sz val="10"/>
        <rFont val="Arial"/>
        <family val="0"/>
        <charset val="1"/>
      </rPr>
      <t xml:space="preserve">+AI </t>
    </r>
    <r>
      <rPr>
        <sz val="10"/>
        <rFont val="Noto Sans CJK SC"/>
        <family val="2"/>
      </rPr>
      <t xml:space="preserve">方案）</t>
    </r>
    <r>
      <rPr>
        <sz val="10"/>
        <rFont val="Arial"/>
        <family val="0"/>
        <charset val="1"/>
      </rPr>
      <t xml:space="preserve">+Workspace</t>
    </r>
    <r>
      <rPr>
        <sz val="10"/>
        <rFont val="Noto Sans CJK SC"/>
        <family val="2"/>
      </rPr>
      <t xml:space="preserve">；年末年化 </t>
    </r>
    <r>
      <rPr>
        <sz val="10"/>
        <rFont val="Arial"/>
        <family val="0"/>
        <charset val="1"/>
      </rPr>
      <t xml:space="preserve">&gt;$70B</t>
    </r>
  </si>
  <si>
    <t xml:space="preserve">—（分部不披露毛利）</t>
  </si>
  <si>
    <r>
      <rPr>
        <sz val="10"/>
        <rFont val="Arial"/>
        <family val="0"/>
        <charset val="1"/>
      </rPr>
      <t xml:space="preserve">Q4 </t>
    </r>
    <r>
      <rPr>
        <sz val="10"/>
        <rFont val="Noto Sans CJK SC"/>
        <family val="2"/>
      </rPr>
      <t xml:space="preserve">单季 </t>
    </r>
    <r>
      <rPr>
        <sz val="10"/>
        <rFont val="Arial"/>
        <family val="0"/>
        <charset val="1"/>
      </rPr>
      <t xml:space="preserve">$17.7B(+48%)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</t>
    </r>
    <r>
      <rPr>
        <sz val="10"/>
        <rFont val="Noto Sans CJK SC"/>
        <family val="2"/>
      </rPr>
      <t xml:space="preserve">经营利润率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；全年经营利润为四季加总（</t>
    </r>
    <r>
      <rPr>
        <sz val="10"/>
        <rFont val="Arial"/>
        <family val="0"/>
        <charset val="1"/>
      </rPr>
      <t xml:space="preserve">2.18+2.83+3.59+5.3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</si>
  <si>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财报</t>
    </r>
  </si>
  <si>
    <r>
      <rPr>
        <sz val="10"/>
        <rFont val="Arial"/>
        <family val="0"/>
        <charset val="1"/>
      </rPr>
      <t xml:space="preserve">Amazon</t>
    </r>
    <r>
      <rPr>
        <sz val="10"/>
        <rFont val="Noto Sans CJK SC"/>
        <family val="2"/>
      </rPr>
      <t xml:space="preserve">（集团）</t>
    </r>
  </si>
  <si>
    <r>
      <rPr>
        <sz val="10"/>
        <rFont val="Noto Sans CJK SC"/>
        <family val="2"/>
      </rPr>
      <t xml:space="preserve">北美 </t>
    </r>
    <r>
      <rPr>
        <sz val="10"/>
        <rFont val="Arial"/>
        <family val="0"/>
        <charset val="1"/>
      </rPr>
      <t xml:space="preserve">$426.3B+</t>
    </r>
    <r>
      <rPr>
        <sz val="10"/>
        <rFont val="Noto Sans CJK SC"/>
        <family val="2"/>
      </rPr>
      <t xml:space="preserve">国际 </t>
    </r>
    <r>
      <rPr>
        <sz val="10"/>
        <rFont val="Arial"/>
        <family val="0"/>
        <charset val="1"/>
      </rPr>
      <t xml:space="preserve">$161.9B+AWS $128.7B</t>
    </r>
  </si>
  <si>
    <r>
      <rPr>
        <sz val="10"/>
        <rFont val="Arial"/>
        <family val="0"/>
        <charset val="1"/>
      </rPr>
      <t xml:space="preserve">2025 capex ~$125B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计划 </t>
    </r>
    <r>
      <rPr>
        <sz val="10"/>
        <rFont val="Arial"/>
        <family val="0"/>
        <charset val="1"/>
      </rPr>
      <t xml:space="preserve">~$200B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P0·</t>
    </r>
    <r>
      <rPr>
        <sz val="10"/>
        <rFont val="Noto Sans CJK SC"/>
        <family val="2"/>
      </rPr>
      <t xml:space="preserve">绝大部分投 </t>
    </r>
    <r>
      <rPr>
        <sz val="10"/>
        <rFont val="Arial"/>
        <family val="0"/>
        <charset val="1"/>
      </rPr>
      <t xml:space="preserve">AWS/AI</t>
    </r>
    <r>
      <rPr>
        <sz val="10"/>
        <rFont val="Noto Sans CJK SC"/>
        <family val="2"/>
      </rPr>
      <t xml:space="preserve">）</t>
    </r>
  </si>
  <si>
    <t xml:space="preserve">AWS</t>
  </si>
  <si>
    <r>
      <rPr>
        <sz val="10"/>
        <rFont val="Noto Sans CJK SC"/>
        <family val="2"/>
      </rPr>
      <t xml:space="preserve">云</t>
    </r>
    <r>
      <rPr>
        <sz val="10"/>
        <rFont val="Arial"/>
        <family val="0"/>
        <charset val="1"/>
      </rPr>
      <t xml:space="preserve">+AI </t>
    </r>
    <r>
      <rPr>
        <sz val="10"/>
        <rFont val="Noto Sans CJK SC"/>
        <family val="2"/>
      </rPr>
      <t xml:space="preserve">基建（自研芯片年化 </t>
    </r>
    <r>
      <rPr>
        <sz val="10"/>
        <rFont val="Arial"/>
        <family val="0"/>
        <charset val="1"/>
      </rPr>
      <t xml:space="preserve">&gt;$10B</t>
    </r>
    <r>
      <rPr>
        <sz val="10"/>
        <rFont val="Noto Sans CJK SC"/>
        <family val="2"/>
      </rPr>
      <t xml:space="preserve">、三位数增长）</t>
    </r>
  </si>
  <si>
    <r>
      <rPr>
        <sz val="10"/>
        <rFont val="Arial"/>
        <family val="0"/>
        <charset val="1"/>
      </rPr>
      <t xml:space="preserve">Q4 $35.6B(+24%)</t>
    </r>
    <r>
      <rPr>
        <sz val="10"/>
        <rFont val="Noto Sans CJK SC"/>
        <family val="2"/>
      </rPr>
      <t xml:space="preserve">、年化 </t>
    </r>
    <r>
      <rPr>
        <sz val="10"/>
        <rFont val="Arial"/>
        <family val="0"/>
        <charset val="1"/>
      </rPr>
      <t xml:space="preserve">$142B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新增电力容量 </t>
    </r>
    <r>
      <rPr>
        <sz val="10"/>
        <rFont val="Arial"/>
        <family val="0"/>
        <charset val="1"/>
      </rPr>
      <t xml:space="preserve">3.99GW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底前翻倍——电力唯一有量的公司；经营利润 </t>
    </r>
    <r>
      <rPr>
        <sz val="10"/>
        <rFont val="Arial"/>
        <family val="0"/>
        <charset val="1"/>
      </rPr>
      <t xml:space="preserve">$45.6B</t>
    </r>
    <r>
      <rPr>
        <sz val="10"/>
        <rFont val="Noto Sans CJK SC"/>
        <family val="2"/>
      </rPr>
      <t xml:space="preserve">（占集团 </t>
    </r>
    <r>
      <rPr>
        <sz val="10"/>
        <rFont val="Arial"/>
        <family val="0"/>
        <charset val="1"/>
      </rPr>
      <t xml:space="preserve">57%</t>
    </r>
    <r>
      <rPr>
        <sz val="10"/>
        <rFont val="Noto Sans CJK SC"/>
        <family val="2"/>
      </rPr>
      <t xml:space="preserve">）</t>
    </r>
  </si>
  <si>
    <t xml:space="preserve">阿里巴巴（集团）</t>
  </si>
  <si>
    <r>
      <rPr>
        <sz val="10"/>
        <rFont val="Arial"/>
        <family val="0"/>
        <charset val="1"/>
      </rPr>
      <t xml:space="preserve">FY2026</t>
    </r>
    <r>
      <rPr>
        <sz val="10"/>
        <rFont val="Noto Sans CJK SC"/>
        <family val="2"/>
      </rPr>
      <t xml:space="preserve">（至 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</si>
  <si>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RMB </t>
    </r>
    <r>
      <rPr>
        <sz val="10"/>
        <rFont val="Noto Sans CJK SC"/>
        <family val="2"/>
      </rPr>
      <t xml:space="preserve">亿</t>
    </r>
  </si>
  <si>
    <r>
      <rPr>
        <sz val="10"/>
        <rFont val="Noto Sans CJK SC"/>
        <family val="2"/>
      </rPr>
      <t xml:space="preserve">电商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云智能 </t>
    </r>
    <r>
      <rPr>
        <sz val="10"/>
        <rFont val="Arial"/>
        <family val="0"/>
        <charset val="1"/>
      </rPr>
      <t xml:space="preserve">¥1,581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即时零售等</t>
    </r>
  </si>
  <si>
    <r>
      <rPr>
        <sz val="10"/>
        <rFont val="Noto Sans CJK SC"/>
        <family val="2"/>
      </rPr>
      <t xml:space="preserve">经调整 </t>
    </r>
    <r>
      <rPr>
        <sz val="10"/>
        <rFont val="Arial"/>
        <family val="0"/>
        <charset val="1"/>
      </rPr>
      <t xml:space="preserve">EBITA ¥764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(-56%)</t>
    </r>
    <r>
      <rPr>
        <sz val="10"/>
        <rFont val="Noto Sans CJK SC"/>
        <family val="2"/>
      </rPr>
      <t xml:space="preserve">；利润大降主因即时零售</t>
    </r>
    <r>
      <rPr>
        <sz val="10"/>
        <rFont val="Arial"/>
        <family val="0"/>
        <charset val="1"/>
      </rPr>
      <t xml:space="preserve">+AI/</t>
    </r>
    <r>
      <rPr>
        <sz val="10"/>
        <rFont val="Noto Sans CJK SC"/>
        <family val="2"/>
      </rPr>
      <t xml:space="preserve">云投入；三年 </t>
    </r>
    <r>
      <rPr>
        <sz val="10"/>
        <rFont val="Arial"/>
        <family val="0"/>
        <charset val="1"/>
      </rPr>
      <t xml:space="preserve">¥3,800</t>
    </r>
    <r>
      <rPr>
        <sz val="10"/>
        <rFont val="Noto Sans CJK SC"/>
        <family val="2"/>
      </rPr>
      <t xml:space="preserve">亿 </t>
    </r>
    <r>
      <rPr>
        <sz val="10"/>
        <rFont val="Arial"/>
        <family val="0"/>
        <charset val="1"/>
      </rPr>
      <t xml:space="preserve">AI+</t>
    </r>
    <r>
      <rPr>
        <sz val="10"/>
        <rFont val="Noto Sans CJK SC"/>
        <family val="2"/>
      </rPr>
      <t xml:space="preserve">云基建</t>
    </r>
  </si>
  <si>
    <t xml:space="preserve">阿里云智能</t>
  </si>
  <si>
    <r>
      <rPr>
        <sz val="10"/>
        <rFont val="Noto Sans CJK SC"/>
        <family val="2"/>
      </rPr>
      <t xml:space="preserve">外部商业化收入破 </t>
    </r>
    <r>
      <rPr>
        <sz val="10"/>
        <rFont val="Arial"/>
        <family val="0"/>
        <charset val="1"/>
      </rPr>
      <t xml:space="preserve">¥1,000</t>
    </r>
    <r>
      <rPr>
        <sz val="10"/>
        <rFont val="Noto Sans CJK SC"/>
        <family val="2"/>
      </rPr>
      <t xml:space="preserve">亿（</t>
    </r>
    <r>
      <rPr>
        <sz val="10"/>
        <rFont val="Arial"/>
        <family val="0"/>
        <charset val="1"/>
      </rPr>
      <t xml:space="preserve">+40%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相关占云外部收入 </t>
    </r>
    <r>
      <rPr>
        <sz val="10"/>
        <rFont val="Arial"/>
        <family val="0"/>
        <charset val="1"/>
      </rPr>
      <t xml:space="preserve">30%·AI ARR &gt;¥358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连续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季三位数增长</t>
    </r>
  </si>
  <si>
    <r>
      <rPr>
        <sz val="10"/>
        <rFont val="Noto Sans CJK SC"/>
        <family val="2"/>
      </rPr>
      <t xml:space="preserve">—（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全年云 </t>
    </r>
    <r>
      <rPr>
        <sz val="10"/>
        <rFont val="Arial"/>
        <family val="0"/>
        <charset val="1"/>
      </rPr>
      <t xml:space="preserve">EBITA </t>
    </r>
    <r>
      <rPr>
        <sz val="10"/>
        <rFont val="Noto Sans CJK SC"/>
        <family val="2"/>
      </rPr>
      <t xml:space="preserve">未见干净披露；早期季度约 </t>
    </r>
    <r>
      <rPr>
        <sz val="10"/>
        <rFont val="Arial"/>
        <family val="0"/>
        <charset val="1"/>
      </rPr>
      <t xml:space="preserve">9-10%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</si>
  <si>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目标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年云收入 </t>
    </r>
    <r>
      <rPr>
        <sz val="10"/>
        <rFont val="Arial"/>
        <family val="0"/>
        <charset val="1"/>
      </rPr>
      <t xml:space="preserve">$1,000</t>
    </r>
    <r>
      <rPr>
        <sz val="10"/>
        <rFont val="Noto Sans CJK SC"/>
        <family val="2"/>
      </rPr>
      <t xml:space="preserve">亿、</t>
    </r>
    <r>
      <rPr>
        <sz val="10"/>
        <rFont val="Arial"/>
        <family val="0"/>
        <charset val="1"/>
      </rPr>
      <t xml:space="preserve">margin 20%</t>
    </r>
    <r>
      <rPr>
        <sz val="10"/>
        <rFont val="Noto Sans CJK SC"/>
        <family val="2"/>
      </rPr>
      <t xml:space="preserve">；千问衍生模型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HuggingFace </t>
    </r>
    <r>
      <rPr>
        <sz val="10"/>
        <rFont val="Noto Sans CJK SC"/>
        <family val="2"/>
      </rPr>
      <t xml:space="preserve">第一）；百炼客户 </t>
    </r>
    <r>
      <rPr>
        <sz val="10"/>
        <rFont val="Arial"/>
        <family val="0"/>
        <charset val="1"/>
      </rPr>
      <t xml:space="preserve">+8 </t>
    </r>
    <r>
      <rPr>
        <sz val="10"/>
        <rFont val="Noto Sans CJK SC"/>
        <family val="2"/>
      </rPr>
      <t xml:space="preserve">倍</t>
    </r>
  </si>
  <si>
    <r>
      <rPr>
        <sz val="10"/>
        <rFont val="Noto Sans CJK SC"/>
        <family val="2"/>
      </rPr>
      <t xml:space="preserve">智谱（</t>
    </r>
    <r>
      <rPr>
        <sz val="10"/>
        <rFont val="Arial"/>
        <family val="0"/>
        <charset val="1"/>
      </rPr>
      <t xml:space="preserve">02513.HK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</si>
  <si>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企业级通用大模型 </t>
    </r>
    <r>
      <rPr>
        <sz val="10"/>
        <rFont val="Arial"/>
        <family val="0"/>
        <charset val="1"/>
      </rPr>
      <t xml:space="preserve">50.4%·</t>
    </r>
    <r>
      <rPr>
        <sz val="10"/>
        <rFont val="Noto Sans CJK SC"/>
        <family val="2"/>
      </rPr>
      <t xml:space="preserve">开放平台</t>
    </r>
    <r>
      <rPr>
        <sz val="10"/>
        <rFont val="Arial"/>
        <family val="0"/>
        <charset val="1"/>
      </rPr>
      <t xml:space="preserve">/API 26.3%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+292.6%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企业级智能体 </t>
    </r>
    <r>
      <rPr>
        <sz val="10"/>
        <rFont val="Arial"/>
        <family val="0"/>
        <charset val="1"/>
      </rPr>
      <t xml:space="preserve">22.9%</t>
    </r>
  </si>
  <si>
    <r>
      <rPr>
        <sz val="10"/>
        <rFont val="Noto Sans CJK SC"/>
        <family val="2"/>
      </rPr>
      <t xml:space="preserve">研发 </t>
    </r>
    <r>
      <rPr>
        <sz val="10"/>
        <rFont val="Arial"/>
        <family val="0"/>
        <charset val="1"/>
      </rPr>
      <t xml:space="preserve">¥31.8</t>
    </r>
    <r>
      <rPr>
        <sz val="10"/>
        <rFont val="Noto Sans CJK SC"/>
        <family val="2"/>
      </rPr>
      <t xml:space="preserve">亿（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4.4 </t>
    </r>
    <r>
      <rPr>
        <sz val="10"/>
        <rFont val="Noto Sans CJK SC"/>
        <family val="2"/>
      </rPr>
      <t xml:space="preserve">倍）；</t>
    </r>
    <r>
      <rPr>
        <sz val="10"/>
        <rFont val="Arial"/>
        <family val="0"/>
        <charset val="1"/>
      </rPr>
      <t xml:space="preserve">capex ¥0.75</t>
    </r>
    <r>
      <rPr>
        <sz val="10"/>
        <rFont val="Noto Sans CJK SC"/>
        <family val="2"/>
      </rPr>
      <t xml:space="preserve">亿（</t>
    </r>
    <r>
      <rPr>
        <sz val="10"/>
        <rFont val="Arial"/>
        <family val="0"/>
        <charset val="1"/>
      </rPr>
      <t xml:space="preserve">-83.8%·</t>
    </r>
    <r>
      <rPr>
        <sz val="10"/>
        <rFont val="Noto Sans CJK SC"/>
        <family val="2"/>
      </rPr>
      <t xml:space="preserve">固定租赁转『租赁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服务采购』）；本地化毛利率 </t>
    </r>
    <r>
      <rPr>
        <sz val="10"/>
        <rFont val="Arial"/>
        <family val="0"/>
        <charset val="1"/>
      </rPr>
      <t xml:space="preserve">48.8%</t>
    </r>
    <r>
      <rPr>
        <sz val="10"/>
        <rFont val="Noto Sans CJK SC"/>
        <family val="2"/>
      </rPr>
      <t xml:space="preserve">、云端 </t>
    </r>
    <r>
      <rPr>
        <sz val="10"/>
        <rFont val="Arial"/>
        <family val="0"/>
        <charset val="1"/>
      </rPr>
      <t xml:space="preserve">18.9%</t>
    </r>
    <r>
      <rPr>
        <sz val="10"/>
        <rFont val="Noto Sans CJK SC"/>
        <family val="2"/>
      </rPr>
      <t xml:space="preserve">；经调整净亏 </t>
    </r>
    <r>
      <rPr>
        <sz val="10"/>
        <rFont val="Arial"/>
        <family val="0"/>
        <charset val="1"/>
      </rPr>
      <t xml:space="preserve">¥31.82</t>
    </r>
    <r>
      <rPr>
        <sz val="10"/>
        <rFont val="Noto Sans CJK SC"/>
        <family val="2"/>
      </rPr>
      <t xml:space="preserve">亿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</si>
  <si>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年报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招股书（</t>
    </r>
    <r>
      <rPr>
        <sz val="10"/>
        <rFont val="Arial"/>
        <family val="0"/>
        <charset val="1"/>
      </rPr>
      <t xml:space="preserve">2026-01-08 </t>
    </r>
    <r>
      <rPr>
        <sz val="10"/>
        <rFont val="Noto Sans CJK SC"/>
        <family val="2"/>
      </rPr>
      <t xml:space="preserve">上市）</t>
    </r>
  </si>
  <si>
    <r>
      <rPr>
        <sz val="10"/>
        <rFont val="Noto Sans CJK SC"/>
        <family val="2"/>
      </rPr>
      <t xml:space="preserve">月之暗面（</t>
    </r>
    <r>
      <rPr>
        <sz val="10"/>
        <rFont val="Arial"/>
        <family val="0"/>
        <charset val="1"/>
      </rPr>
      <t xml:space="preserve">Kimi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</si>
  <si>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70%+</t>
    </r>
    <r>
      <rPr>
        <sz val="10"/>
        <rFont val="Noto Sans CJK SC"/>
        <family val="2"/>
      </rPr>
      <t xml:space="preserve">；海外收入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国内</t>
    </r>
  </si>
  <si>
    <r>
      <rPr>
        <sz val="10"/>
        <rFont val="Arial"/>
        <family val="0"/>
        <charset val="1"/>
      </rPr>
      <t xml:space="preserve">K2 </t>
    </r>
    <r>
      <rPr>
        <sz val="10"/>
        <rFont val="Noto Sans CJK SC"/>
        <family val="2"/>
      </rPr>
      <t xml:space="preserve">单次训练成本 </t>
    </r>
    <r>
      <rPr>
        <sz val="10"/>
        <rFont val="Arial"/>
        <family val="0"/>
        <charset val="1"/>
      </rPr>
      <t xml:space="preserve">$460 </t>
    </r>
    <r>
      <rPr>
        <sz val="10"/>
        <rFont val="Noto Sans CJK SC"/>
        <family val="2"/>
      </rPr>
      <t xml:space="preserve">万（口径：单次 </t>
    </r>
    <r>
      <rPr>
        <sz val="10"/>
        <rFont val="Arial"/>
        <family val="0"/>
        <charset val="1"/>
      </rPr>
      <t xml:space="preserve">run·</t>
    </r>
    <r>
      <rPr>
        <sz val="10"/>
        <rFont val="Noto Sans CJK SC"/>
        <family val="2"/>
      </rPr>
      <t xml:space="preserve">非总研发）；现金 </t>
    </r>
    <r>
      <rPr>
        <sz val="10"/>
        <rFont val="Arial"/>
        <family val="0"/>
        <charset val="1"/>
      </rPr>
      <t xml:space="preserve">&gt;¥100</t>
    </r>
    <r>
      <rPr>
        <sz val="10"/>
        <rFont val="Noto Sans CJK SC"/>
        <family val="2"/>
      </rPr>
      <t xml:space="preserve">亿；付费 </t>
    </r>
    <r>
      <rPr>
        <sz val="10"/>
        <rFont val="Arial"/>
        <family val="0"/>
        <charset val="1"/>
      </rPr>
      <t xml:space="preserve">2025-09 </t>
    </r>
    <r>
      <rPr>
        <sz val="10"/>
        <rFont val="Noto Sans CJK SC"/>
        <family val="2"/>
      </rPr>
      <t xml:space="preserve">才开启；</t>
    </r>
    <r>
      <rPr>
        <sz val="10"/>
        <rFont val="Arial"/>
        <family val="0"/>
        <charset val="1"/>
      </rPr>
      <t xml:space="preserve">2026-04 ARR &gt;$2</t>
    </r>
    <r>
      <rPr>
        <sz val="10"/>
        <rFont val="Noto Sans CJK SC"/>
        <family val="2"/>
      </rPr>
      <t xml:space="preserve">亿；估值 </t>
    </r>
    <r>
      <rPr>
        <sz val="10"/>
        <rFont val="Arial"/>
        <family val="0"/>
        <charset val="1"/>
      </rPr>
      <t xml:space="preserve">$350</t>
    </r>
    <r>
      <rPr>
        <sz val="10"/>
        <rFont val="Noto Sans CJK SC"/>
        <family val="2"/>
      </rPr>
      <t xml:space="preserve">亿（</t>
    </r>
    <r>
      <rPr>
        <sz val="10"/>
        <rFont val="Arial"/>
        <family val="0"/>
        <charset val="1"/>
      </rPr>
      <t xml:space="preserve">2026-07</t>
    </r>
    <r>
      <rPr>
        <sz val="10"/>
        <rFont val="Noto Sans CJK SC"/>
        <family val="2"/>
      </rPr>
      <t xml:space="preserve">）；亏损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毛利全未披露</t>
    </r>
  </si>
  <si>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报道</t>
    </r>
  </si>
  <si>
    <t xml:space="preserve">DeepSeek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</si>
  <si>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年化（估）</t>
    </r>
  </si>
  <si>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$2-2.5 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年化（估）</t>
    </r>
  </si>
  <si>
    <t xml:space="preserve">USD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</si>
  <si>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为主；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端免费</t>
    </r>
  </si>
  <si>
    <r>
      <rPr>
        <sz val="10"/>
        <rFont val="Noto Sans CJK SC"/>
        <family val="2"/>
      </rPr>
      <t xml:space="preserve">幻方体内补贴、无任何公开财报；『</t>
    </r>
    <r>
      <rPr>
        <sz val="10"/>
        <rFont val="Arial"/>
        <family val="0"/>
        <charset val="1"/>
      </rPr>
      <t xml:space="preserve">545% </t>
    </r>
    <r>
      <rPr>
        <sz val="10"/>
        <rFont val="Noto Sans CJK SC"/>
        <family val="2"/>
      </rPr>
      <t xml:space="preserve">利润率』系理论推理毛利、已证伪；</t>
    </r>
    <r>
      <rPr>
        <sz val="10"/>
        <rFont val="Arial"/>
        <family val="0"/>
        <charset val="1"/>
      </rPr>
      <t xml:space="preserve">SemiAnalysis </t>
    </r>
    <r>
      <rPr>
        <sz val="10"/>
        <rFont val="Noto Sans CJK SC"/>
        <family val="2"/>
      </rPr>
      <t xml:space="preserve">旧估累计投入 </t>
    </r>
    <r>
      <rPr>
        <sz val="10"/>
        <rFont val="Arial"/>
        <family val="0"/>
        <charset val="1"/>
      </rPr>
      <t xml:space="preserve">~$1.6B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2025-02·P2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中年化 </t>
    </r>
    <r>
      <rPr>
        <sz val="10"/>
        <rFont val="Arial"/>
        <family val="0"/>
        <charset val="1"/>
      </rPr>
      <t xml:space="preserve">~$400-500M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</si>
  <si>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报道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推断</t>
    </r>
  </si>
  <si>
    <t xml:space="preserve">期间</t>
  </si>
  <si>
    <t xml:space="preserve">币种单位</t>
  </si>
  <si>
    <r>
      <rPr>
        <b val="true"/>
        <sz val="10"/>
        <color rgb="FFFFFFFF"/>
        <rFont val="Noto Sans CJK SC"/>
        <family val="2"/>
      </rPr>
      <t xml:space="preserve">营业成本</t>
    </r>
    <r>
      <rPr>
        <b val="true"/>
        <sz val="10"/>
        <color rgb="FFFFFFFF"/>
        <rFont val="Arial"/>
        <family val="0"/>
        <charset val="1"/>
      </rPr>
      <t xml:space="preserve">COGS</t>
    </r>
  </si>
  <si>
    <r>
      <rPr>
        <b val="true"/>
        <sz val="10"/>
        <color rgb="FFFFFFFF"/>
        <rFont val="Noto Sans CJK SC"/>
        <family val="2"/>
      </rPr>
      <t xml:space="preserve">研发</t>
    </r>
    <r>
      <rPr>
        <b val="true"/>
        <sz val="10"/>
        <color rgb="FFFFFFFF"/>
        <rFont val="Arial"/>
        <family val="0"/>
        <charset val="1"/>
      </rPr>
      <t xml:space="preserve">R&amp;D</t>
    </r>
  </si>
  <si>
    <r>
      <rPr>
        <b val="true"/>
        <sz val="10"/>
        <color rgb="FFFFFFFF"/>
        <rFont val="Noto Sans CJK SC"/>
        <family val="2"/>
      </rPr>
      <t xml:space="preserve">销售</t>
    </r>
    <r>
      <rPr>
        <b val="true"/>
        <sz val="10"/>
        <color rgb="FFFFFFFF"/>
        <rFont val="Arial"/>
        <family val="0"/>
        <charset val="1"/>
      </rPr>
      <t xml:space="preserve">S&amp;M</t>
    </r>
  </si>
  <si>
    <r>
      <rPr>
        <b val="true"/>
        <sz val="10"/>
        <color rgb="FFFFFFFF"/>
        <rFont val="Noto Sans CJK SC"/>
        <family val="2"/>
      </rPr>
      <t xml:space="preserve">管理</t>
    </r>
    <r>
      <rPr>
        <b val="true"/>
        <sz val="10"/>
        <color rgb="FFFFFFFF"/>
        <rFont val="Arial"/>
        <family val="0"/>
        <charset val="1"/>
      </rPr>
      <t xml:space="preserve">G&amp;A</t>
    </r>
  </si>
  <si>
    <t xml:space="preserve">经营利润</t>
  </si>
  <si>
    <t xml:space="preserve">净利润</t>
  </si>
  <si>
    <r>
      <rPr>
        <b val="true"/>
        <sz val="10"/>
        <color rgb="FFFFFFFF"/>
        <rFont val="Arial"/>
        <family val="0"/>
        <charset val="1"/>
      </rPr>
      <t xml:space="preserve">capex(</t>
    </r>
    <r>
      <rPr>
        <b val="true"/>
        <sz val="10"/>
        <color rgb="FFFFFFFF"/>
        <rFont val="Noto Sans CJK SC"/>
        <family val="2"/>
      </rPr>
      <t xml:space="preserve">硬件采购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</si>
  <si>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折旧</t>
  </si>
  <si>
    <t xml:space="preserve">备注</t>
  </si>
  <si>
    <r>
      <rPr>
        <sz val="10"/>
        <rFont val="Noto Sans CJK SC"/>
        <family val="2"/>
      </rPr>
      <t xml:space="preserve">归属净亏含 </t>
    </r>
    <r>
      <rPr>
        <sz val="10"/>
        <rFont val="Arial"/>
        <family val="0"/>
        <charset val="1"/>
      </rPr>
      <t xml:space="preserve">$41.55B </t>
    </r>
    <r>
      <rPr>
        <sz val="10"/>
        <rFont val="Noto Sans CJK SC"/>
        <family val="2"/>
      </rPr>
      <t xml:space="preserve">改制公允价值一次性；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付微软算力费 </t>
    </r>
    <r>
      <rPr>
        <sz val="10"/>
        <rFont val="Arial"/>
        <family val="0"/>
        <charset val="1"/>
      </rPr>
      <t xml:space="preserve">$10.59B</t>
    </r>
    <r>
      <rPr>
        <sz val="10"/>
        <rFont val="Noto Sans CJK SC"/>
        <family val="2"/>
      </rPr>
      <t xml:space="preserve">；无自有数据中心（算力全租）。电力不单列</t>
    </r>
  </si>
  <si>
    <r>
      <rPr>
        <sz val="10"/>
        <rFont val="Arial"/>
        <family val="0"/>
        <charset val="1"/>
      </rPr>
      <t xml:space="preserve">2025(</t>
    </r>
    <r>
      <rPr>
        <sz val="10"/>
        <rFont val="Noto Sans CJK SC"/>
        <family val="2"/>
      </rPr>
      <t xml:space="preserve">年化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</si>
  <si>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年末年化≈</t>
    </r>
    <r>
      <rPr>
        <sz val="10"/>
        <rFont val="Arial"/>
        <family val="0"/>
        <charset val="1"/>
      </rPr>
      <t xml:space="preserve">$9B</t>
    </r>
    <r>
      <rPr>
        <sz val="10"/>
        <rFont val="Noto Sans CJK SC"/>
        <family val="2"/>
      </rPr>
      <t xml:space="preserve">（实际确认收入未完整披露，估 </t>
    </r>
    <r>
      <rPr>
        <sz val="10"/>
        <rFont val="Arial"/>
        <family val="0"/>
        <charset val="1"/>
      </rPr>
      <t xml:space="preserve">$4-5B·P2 </t>
    </r>
    <r>
      <rPr>
        <sz val="10"/>
        <rFont val="Noto Sans CJK SC"/>
        <family val="2"/>
      </rPr>
      <t xml:space="preserve">推断）；毛利率≈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（公司投资者口径</t>
    </r>
    <r>
      <rPr>
        <sz val="10"/>
        <rFont val="Arial"/>
        <family val="0"/>
        <charset val="1"/>
      </rPr>
      <t xml:space="preserve">·2024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-94%</t>
    </r>
    <r>
      <rPr>
        <sz val="10"/>
        <rFont val="Noto Sans CJK SC"/>
        <family val="2"/>
      </rPr>
      <t xml:space="preserve">）；云承诺 </t>
    </r>
    <r>
      <rPr>
        <sz val="10"/>
        <rFont val="Arial"/>
        <family val="0"/>
        <charset val="1"/>
      </rPr>
      <t xml:space="preserve">~$80B 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2029(AWS+Google)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2026E </t>
    </r>
    <r>
      <rPr>
        <sz val="10"/>
        <rFont val="Noto Sans CJK SC"/>
        <family val="2"/>
      </rPr>
      <t xml:space="preserve">净亏 </t>
    </r>
    <r>
      <rPr>
        <sz val="10"/>
        <rFont val="Arial"/>
        <family val="0"/>
        <charset val="1"/>
      </rPr>
      <t xml:space="preserve">~$2B</t>
    </r>
  </si>
  <si>
    <t xml:space="preserve">xAI</t>
  </si>
  <si>
    <r>
      <rPr>
        <sz val="10"/>
        <rFont val="Noto Sans CJK SC"/>
        <family val="2"/>
      </rPr>
      <t xml:space="preserve">收入含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广告，纯 </t>
    </r>
    <r>
      <rPr>
        <sz val="10"/>
        <rFont val="Arial"/>
        <family val="0"/>
        <charset val="1"/>
      </rPr>
      <t xml:space="preserve">AI(Grok/API) </t>
    </r>
    <r>
      <rPr>
        <sz val="10"/>
        <rFont val="Noto Sans CJK SC"/>
        <family val="2"/>
      </rPr>
      <t xml:space="preserve">占少数（</t>
    </r>
    <r>
      <rPr>
        <sz val="10"/>
        <rFont val="Arial"/>
        <family val="0"/>
        <charset val="1"/>
      </rPr>
      <t xml:space="preserve">Forbes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主投 </t>
    </r>
    <r>
      <rPr>
        <sz val="10"/>
        <rFont val="Arial"/>
        <family val="0"/>
        <charset val="1"/>
      </rPr>
      <t xml:space="preserve">Colossus </t>
    </r>
    <r>
      <rPr>
        <sz val="10"/>
        <rFont val="Noto Sans CJK SC"/>
        <family val="2"/>
      </rPr>
      <t xml:space="preserve">数据中心</t>
    </r>
  </si>
  <si>
    <t xml:space="preserve">2026Q1</t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</si>
  <si>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单季年化≈</t>
    </r>
    <r>
      <rPr>
        <sz val="10"/>
        <rFont val="Arial"/>
        <family val="0"/>
        <charset val="1"/>
      </rPr>
      <t xml:space="preserve">$30B</t>
    </r>
  </si>
  <si>
    <r>
      <rPr>
        <sz val="10"/>
        <rFont val="Arial"/>
        <family val="0"/>
        <charset val="1"/>
      </rPr>
      <t xml:space="preserve">EBITDA $7.5B(46.9%)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Starlink EBITDA margin≈63%</t>
    </r>
    <r>
      <rPr>
        <sz val="10"/>
        <rFont val="Noto Sans CJK SC"/>
        <family val="2"/>
      </rPr>
      <t xml:space="preserve">；合并 </t>
    </r>
    <r>
      <rPr>
        <sz val="10"/>
        <rFont val="Arial"/>
        <family val="0"/>
        <charset val="1"/>
      </rPr>
      <t xml:space="preserve">xAI </t>
    </r>
    <r>
      <rPr>
        <sz val="10"/>
        <rFont val="Noto Sans CJK SC"/>
        <family val="2"/>
      </rPr>
      <t xml:space="preserve">后估值 </t>
    </r>
    <r>
      <rPr>
        <sz val="10"/>
        <rFont val="Arial"/>
        <family val="0"/>
        <charset val="1"/>
      </rPr>
      <t xml:space="preserve">$1.25T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$20B </t>
    </r>
    <r>
      <rPr>
        <sz val="10"/>
        <rFont val="Noto Sans CJK SC"/>
        <family val="2"/>
      </rPr>
      <t xml:space="preserve">过桥贷置换 </t>
    </r>
    <r>
      <rPr>
        <sz val="10"/>
        <rFont val="Arial"/>
        <family val="0"/>
        <charset val="1"/>
      </rPr>
      <t xml:space="preserve">xAI $16B </t>
    </r>
    <r>
      <rPr>
        <sz val="10"/>
        <rFont val="Noto Sans CJK SC"/>
        <family val="2"/>
      </rPr>
      <t xml:space="preserve">债</t>
    </r>
  </si>
  <si>
    <r>
      <rPr>
        <sz val="10"/>
        <rFont val="Noto Sans CJK SC"/>
        <family val="2"/>
      </rPr>
      <t xml:space="preserve">微软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集团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</si>
  <si>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FY2026(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26-06)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</si>
  <si>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年收入首破 </t>
    </r>
    <r>
      <rPr>
        <sz val="10"/>
        <rFont val="Arial"/>
        <family val="0"/>
        <charset val="1"/>
      </rPr>
      <t xml:space="preserve">$100B(+41%)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业务年化 </t>
    </r>
    <r>
      <rPr>
        <sz val="10"/>
        <rFont val="Arial"/>
        <family val="0"/>
        <charset val="1"/>
      </rPr>
      <t xml:space="preserve">$37B(+123%·Q3 </t>
    </r>
    <r>
      <rPr>
        <sz val="10"/>
        <rFont val="Noto Sans CJK SC"/>
        <family val="2"/>
      </rPr>
      <t xml:space="preserve">披露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Q4 capex $41B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2/3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GPU/CPU </t>
    </r>
    <r>
      <rPr>
        <sz val="10"/>
        <rFont val="Noto Sans CJK SC"/>
        <family val="2"/>
      </rPr>
      <t xml:space="preserve">短寿命资产；</t>
    </r>
    <r>
      <rPr>
        <sz val="10"/>
        <rFont val="Arial"/>
        <family val="0"/>
        <charset val="1"/>
      </rPr>
      <t xml:space="preserve">RPO $678B(+84%)</t>
    </r>
    <r>
      <rPr>
        <sz val="10"/>
        <rFont val="Noto Sans CJK SC"/>
        <family val="2"/>
      </rPr>
      <t xml:space="preserve">；云分部毛利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折旧未单列</t>
    </r>
  </si>
  <si>
    <r>
      <rPr>
        <sz val="10"/>
        <rFont val="Arial"/>
        <family val="0"/>
        <charset val="1"/>
      </rPr>
      <t xml:space="preserve">Alphabet(</t>
    </r>
    <r>
      <rPr>
        <sz val="10"/>
        <rFont val="Noto Sans CJK SC"/>
        <family val="2"/>
      </rPr>
      <t xml:space="preserve">集团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</si>
  <si>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capex +74%(2024: $52.5B)</t>
    </r>
    <r>
      <rPr>
        <sz val="10"/>
        <rFont val="Noto Sans CJK SC"/>
        <family val="2"/>
      </rPr>
      <t xml:space="preserve">；折旧 </t>
    </r>
    <r>
      <rPr>
        <sz val="10"/>
        <rFont val="Arial"/>
        <family val="0"/>
        <charset val="1"/>
      </rPr>
      <t xml:space="preserve">2024: $15.3B→2025: $21.1B</t>
    </r>
    <r>
      <rPr>
        <sz val="10"/>
        <rFont val="Noto Sans CJK SC"/>
        <family val="2"/>
      </rPr>
      <t xml:space="preserve">；服务器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年折旧、约占基建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~$175-205B</t>
    </r>
  </si>
  <si>
    <r>
      <rPr>
        <sz val="10"/>
        <rFont val="Noto Sans CJK SC"/>
        <family val="2"/>
      </rPr>
      <t xml:space="preserve">收入为四季加总</t>
    </r>
    <r>
      <rPr>
        <sz val="10"/>
        <rFont val="Arial"/>
        <family val="0"/>
        <charset val="1"/>
      </rPr>
      <t xml:space="preserve">(12.26+13.62+15.16+17.66)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Q4 </t>
    </r>
    <r>
      <rPr>
        <sz val="10"/>
        <rFont val="Noto Sans CJK SC"/>
        <family val="2"/>
      </rPr>
      <t xml:space="preserve">单季 </t>
    </r>
    <r>
      <rPr>
        <sz val="10"/>
        <rFont val="Arial"/>
        <family val="0"/>
        <charset val="1"/>
      </rPr>
      <t xml:space="preserve">$17.7B(+48%)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</t>
    </r>
    <r>
      <rPr>
        <sz val="10"/>
        <rFont val="Noto Sans CJK SC"/>
        <family val="2"/>
      </rPr>
      <t xml:space="preserve">经营利润率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；年末年化 </t>
    </r>
    <r>
      <rPr>
        <sz val="10"/>
        <rFont val="Arial"/>
        <family val="0"/>
        <charset val="1"/>
      </rPr>
      <t xml:space="preserve">&gt;$70B</t>
    </r>
    <r>
      <rPr>
        <sz val="10"/>
        <rFont val="Noto Sans CJK SC"/>
        <family val="2"/>
      </rPr>
      <t xml:space="preserve">；分部毛利不披露</t>
    </r>
  </si>
  <si>
    <r>
      <rPr>
        <sz val="10"/>
        <rFont val="Arial"/>
        <family val="0"/>
        <charset val="1"/>
      </rPr>
      <t xml:space="preserve">Amazon(</t>
    </r>
    <r>
      <rPr>
        <sz val="10"/>
        <rFont val="Noto Sans CJK SC"/>
        <family val="2"/>
      </rPr>
      <t xml:space="preserve">集团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</si>
  <si>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capex ~$125B(P1·</t>
    </r>
    <r>
      <rPr>
        <sz val="10"/>
        <rFont val="Noto Sans CJK SC"/>
        <family val="2"/>
      </rPr>
      <t xml:space="preserve">电话会口径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计划 </t>
    </r>
    <r>
      <rPr>
        <sz val="10"/>
        <rFont val="Arial"/>
        <family val="0"/>
        <charset val="1"/>
      </rPr>
      <t xml:space="preserve">~$200B(P0·</t>
    </r>
    <r>
      <rPr>
        <sz val="10"/>
        <rFont val="Noto Sans CJK SC"/>
        <family val="2"/>
      </rPr>
      <t xml:space="preserve">主投 </t>
    </r>
    <r>
      <rPr>
        <sz val="10"/>
        <rFont val="Arial"/>
        <family val="0"/>
        <charset val="1"/>
      </rPr>
      <t xml:space="preserve">AWS/AI)</t>
    </r>
  </si>
  <si>
    <r>
      <rPr>
        <sz val="10"/>
        <rFont val="Arial"/>
        <family val="0"/>
        <charset val="1"/>
      </rPr>
      <t xml:space="preserve">Q4 $35.6B(+24%)</t>
    </r>
    <r>
      <rPr>
        <sz val="10"/>
        <rFont val="Noto Sans CJK SC"/>
        <family val="2"/>
      </rPr>
      <t xml:space="preserve">、年化 </t>
    </r>
    <r>
      <rPr>
        <sz val="10"/>
        <rFont val="Arial"/>
        <family val="0"/>
        <charset val="1"/>
      </rPr>
      <t xml:space="preserve">$142B</t>
    </r>
    <r>
      <rPr>
        <sz val="10"/>
        <rFont val="Noto Sans CJK SC"/>
        <family val="2"/>
      </rPr>
      <t xml:space="preserve">；自研芯片</t>
    </r>
    <r>
      <rPr>
        <sz val="10"/>
        <rFont val="Arial"/>
        <family val="0"/>
        <charset val="1"/>
      </rPr>
      <t xml:space="preserve">(Graviton+Trainium)</t>
    </r>
    <r>
      <rPr>
        <sz val="10"/>
        <rFont val="Noto Sans CJK SC"/>
        <family val="2"/>
      </rPr>
      <t xml:space="preserve">年化收入 </t>
    </r>
    <r>
      <rPr>
        <sz val="10"/>
        <rFont val="Arial"/>
        <family val="0"/>
        <charset val="1"/>
      </rPr>
      <t xml:space="preserve">&gt;$10B</t>
    </r>
    <r>
      <rPr>
        <sz val="10"/>
        <rFont val="Noto Sans CJK SC"/>
        <family val="2"/>
      </rPr>
      <t xml:space="preserve">、三位数增长；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新增电力容量 </t>
    </r>
    <r>
      <rPr>
        <sz val="10"/>
        <rFont val="Arial"/>
        <family val="0"/>
        <charset val="1"/>
      </rPr>
      <t xml:space="preserve">3.99GW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底前翻倍——电力口径唯一给出量的公司</t>
    </r>
  </si>
  <si>
    <r>
      <rPr>
        <sz val="10"/>
        <rFont val="Noto Sans CJK SC"/>
        <family val="2"/>
      </rPr>
      <t xml:space="preserve">阿里巴巴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集团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</si>
  <si>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FY2026(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26-03)</t>
    </r>
  </si>
  <si>
    <r>
      <rPr>
        <sz val="10"/>
        <rFont val="Noto Sans CJK SC"/>
        <family val="2"/>
      </rPr>
      <t xml:space="preserve">经调整 </t>
    </r>
    <r>
      <rPr>
        <sz val="10"/>
        <rFont val="Arial"/>
        <family val="0"/>
        <charset val="1"/>
      </rPr>
      <t xml:space="preserve">EBITA ¥764.16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(-56%)</t>
    </r>
    <r>
      <rPr>
        <sz val="10"/>
        <rFont val="Noto Sans CJK SC"/>
        <family val="2"/>
      </rPr>
      <t xml:space="preserve">；利润大降主因即时零售</t>
    </r>
    <r>
      <rPr>
        <sz val="10"/>
        <rFont val="Arial"/>
        <family val="0"/>
        <charset val="1"/>
      </rPr>
      <t xml:space="preserve">+AI/</t>
    </r>
    <r>
      <rPr>
        <sz val="10"/>
        <rFont val="Noto Sans CJK SC"/>
        <family val="2"/>
      </rPr>
      <t xml:space="preserve">云战略投入；三年 </t>
    </r>
    <r>
      <rPr>
        <sz val="10"/>
        <rFont val="Arial"/>
        <family val="0"/>
        <charset val="1"/>
      </rPr>
      <t xml:space="preserve">¥3,800</t>
    </r>
    <r>
      <rPr>
        <sz val="10"/>
        <rFont val="Noto Sans CJK SC"/>
        <family val="2"/>
      </rPr>
      <t xml:space="preserve">亿 </t>
    </r>
    <r>
      <rPr>
        <sz val="10"/>
        <rFont val="Arial"/>
        <family val="0"/>
        <charset val="1"/>
      </rPr>
      <t xml:space="preserve">AI+</t>
    </r>
    <r>
      <rPr>
        <sz val="10"/>
        <rFont val="Noto Sans CJK SC"/>
        <family val="2"/>
      </rPr>
      <t xml:space="preserve">云基建计划</t>
    </r>
  </si>
  <si>
    <r>
      <rPr>
        <sz val="10"/>
        <rFont val="Noto Sans CJK SC"/>
        <family val="2"/>
      </rPr>
      <t xml:space="preserve">外部商业化收入破 </t>
    </r>
    <r>
      <rPr>
        <sz val="10"/>
        <rFont val="Arial"/>
        <family val="0"/>
        <charset val="1"/>
      </rPr>
      <t xml:space="preserve">¥1,000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(+40%)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相关 </t>
    </r>
    <r>
      <rPr>
        <sz val="10"/>
        <rFont val="Arial"/>
        <family val="0"/>
        <charset val="1"/>
      </rPr>
      <t xml:space="preserve">Q4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¥89.7</t>
    </r>
    <r>
      <rPr>
        <sz val="10"/>
        <rFont val="Noto Sans CJK SC"/>
        <family val="2"/>
      </rPr>
      <t xml:space="preserve">亿、连续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季三位数增长、</t>
    </r>
    <r>
      <rPr>
        <sz val="10"/>
        <rFont val="Arial"/>
        <family val="0"/>
        <charset val="1"/>
      </rPr>
      <t xml:space="preserve">AI ARR &gt;¥358</t>
    </r>
    <r>
      <rPr>
        <sz val="10"/>
        <rFont val="Noto Sans CJK SC"/>
        <family val="2"/>
      </rPr>
      <t xml:space="preserve">亿、占云外部收入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全年云 </t>
    </r>
    <r>
      <rPr>
        <sz val="10"/>
        <rFont val="Arial"/>
        <family val="0"/>
        <charset val="1"/>
      </rPr>
      <t xml:space="preserve">EBITA </t>
    </r>
    <r>
      <rPr>
        <sz val="10"/>
        <rFont val="Noto Sans CJK SC"/>
        <family val="2"/>
      </rPr>
      <t xml:space="preserve">未见干净披露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早期季度约 </t>
    </r>
    <r>
      <rPr>
        <sz val="10"/>
        <rFont val="Arial"/>
        <family val="0"/>
        <charset val="1"/>
      </rPr>
      <t xml:space="preserve">9-10%)</t>
    </r>
  </si>
  <si>
    <r>
      <rPr>
        <sz val="10"/>
        <rFont val="Noto Sans CJK SC"/>
        <family val="2"/>
      </rPr>
      <t xml:space="preserve">智谱</t>
    </r>
    <r>
      <rPr>
        <sz val="10"/>
        <rFont val="Arial"/>
        <family val="0"/>
        <charset val="1"/>
      </rPr>
      <t xml:space="preserve">(02513.HK)</t>
    </r>
  </si>
  <si>
    <r>
      <rPr>
        <sz val="10"/>
        <rFont val="Noto Sans CJK SC"/>
        <family val="2"/>
      </rPr>
      <t xml:space="preserve">经调整净亏 </t>
    </r>
    <r>
      <rPr>
        <sz val="10"/>
        <rFont val="Arial"/>
        <family val="0"/>
        <charset val="1"/>
      </rPr>
      <t xml:space="preserve">¥31.82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(-439%)</t>
    </r>
    <r>
      <rPr>
        <sz val="10"/>
        <rFont val="Noto Sans CJK SC"/>
        <family val="2"/>
      </rPr>
      <t xml:space="preserve">；研发占收入 </t>
    </r>
    <r>
      <rPr>
        <sz val="10"/>
        <rFont val="Arial"/>
        <family val="0"/>
        <charset val="1"/>
      </rPr>
      <t xml:space="preserve">439%</t>
    </r>
    <r>
      <rPr>
        <sz val="10"/>
        <rFont val="Noto Sans CJK SC"/>
        <family val="2"/>
      </rPr>
      <t xml:space="preserve">；本地化部署毛利率 </t>
    </r>
    <r>
      <rPr>
        <sz val="10"/>
        <rFont val="Arial"/>
        <family val="0"/>
        <charset val="1"/>
      </rPr>
      <t xml:space="preserve">48.8%</t>
    </r>
    <r>
      <rPr>
        <sz val="10"/>
        <rFont val="Noto Sans CJK SC"/>
        <family val="2"/>
      </rPr>
      <t xml:space="preserve">、云端 </t>
    </r>
    <r>
      <rPr>
        <sz val="10"/>
        <rFont val="Arial"/>
        <family val="0"/>
        <charset val="1"/>
      </rPr>
      <t xml:space="preserve">18.9%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capex -83.8%(</t>
    </r>
    <r>
      <rPr>
        <sz val="10"/>
        <rFont val="Noto Sans CJK SC"/>
        <family val="2"/>
      </rPr>
      <t xml:space="preserve">固定租赁转『租赁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服务采购』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MaaS ARR ¥17</t>
    </r>
    <r>
      <rPr>
        <sz val="10"/>
        <rFont val="Noto Sans CJK SC"/>
        <family val="2"/>
      </rPr>
      <t xml:space="preserve">亿；</t>
    </r>
    <r>
      <rPr>
        <sz val="10"/>
        <rFont val="Arial"/>
        <family val="0"/>
        <charset val="1"/>
      </rPr>
      <t xml:space="preserve">2026Q1 API </t>
    </r>
    <r>
      <rPr>
        <sz val="10"/>
        <rFont val="Noto Sans CJK SC"/>
        <family val="2"/>
      </rPr>
      <t xml:space="preserve">提价 </t>
    </r>
    <r>
      <rPr>
        <sz val="10"/>
        <rFont val="Arial"/>
        <family val="0"/>
        <charset val="1"/>
      </rPr>
      <t xml:space="preserve">83%</t>
    </r>
  </si>
  <si>
    <r>
      <rPr>
        <sz val="10"/>
        <rFont val="Noto Sans CJK SC"/>
        <family val="2"/>
      </rPr>
      <t xml:space="preserve">月之暗面</t>
    </r>
    <r>
      <rPr>
        <sz val="10"/>
        <rFont val="Arial"/>
        <family val="0"/>
        <charset val="1"/>
      </rPr>
      <t xml:space="preserve">(Kimi)</t>
    </r>
  </si>
  <si>
    <r>
      <rPr>
        <sz val="10"/>
        <rFont val="Noto Sans CJK SC"/>
        <family val="2"/>
      </rPr>
      <t xml:space="preserve">付费 </t>
    </r>
    <r>
      <rPr>
        <sz val="10"/>
        <rFont val="Arial"/>
        <family val="0"/>
        <charset val="1"/>
      </rPr>
      <t xml:space="preserve">2025-09 </t>
    </r>
    <r>
      <rPr>
        <sz val="10"/>
        <rFont val="Noto Sans CJK SC"/>
        <family val="2"/>
      </rPr>
      <t xml:space="preserve">才开启；</t>
    </r>
    <r>
      <rPr>
        <sz val="10"/>
        <rFont val="Arial"/>
        <family val="0"/>
        <charset val="1"/>
      </rPr>
      <t xml:space="preserve">2026-02 K2.5 </t>
    </r>
    <r>
      <rPr>
        <sz val="10"/>
        <rFont val="Noto Sans CJK SC"/>
        <family val="2"/>
      </rPr>
      <t xml:space="preserve">后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天收入超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全年；</t>
    </r>
    <r>
      <rPr>
        <sz val="10"/>
        <rFont val="Arial"/>
        <family val="0"/>
        <charset val="1"/>
      </rPr>
      <t xml:space="preserve">2026-04 ARR &gt;$2</t>
    </r>
    <r>
      <rPr>
        <sz val="10"/>
        <rFont val="Noto Sans CJK SC"/>
        <family val="2"/>
      </rPr>
      <t xml:space="preserve">亿；</t>
    </r>
    <r>
      <rPr>
        <sz val="10"/>
        <rFont val="Arial"/>
        <family val="0"/>
        <charset val="1"/>
      </rPr>
      <t xml:space="preserve">K2 </t>
    </r>
    <r>
      <rPr>
        <sz val="10"/>
        <rFont val="Noto Sans CJK SC"/>
        <family val="2"/>
      </rPr>
      <t xml:space="preserve">单次训练成本 </t>
    </r>
    <r>
      <rPr>
        <sz val="10"/>
        <rFont val="Arial"/>
        <family val="0"/>
        <charset val="1"/>
      </rPr>
      <t xml:space="preserve">$460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口径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单次 </t>
    </r>
    <r>
      <rPr>
        <sz val="10"/>
        <rFont val="Arial"/>
        <family val="0"/>
        <charset val="1"/>
      </rPr>
      <t xml:space="preserve">run·</t>
    </r>
    <r>
      <rPr>
        <sz val="10"/>
        <rFont val="Noto Sans CJK SC"/>
        <family val="2"/>
      </rPr>
      <t xml:space="preserve">非总研发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；现金 </t>
    </r>
    <r>
      <rPr>
        <sz val="10"/>
        <rFont val="Arial"/>
        <family val="0"/>
        <charset val="1"/>
      </rPr>
      <t xml:space="preserve">&gt;¥100</t>
    </r>
    <r>
      <rPr>
        <sz val="10"/>
        <rFont val="Noto Sans CJK SC"/>
        <family val="2"/>
      </rPr>
      <t xml:space="preserve">亿；亏损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毛利未披露</t>
    </r>
  </si>
  <si>
    <r>
      <rPr>
        <sz val="10"/>
        <rFont val="Arial"/>
        <family val="0"/>
        <charset val="1"/>
      </rPr>
      <t xml:space="preserve">2025(</t>
    </r>
    <r>
      <rPr>
        <sz val="10"/>
        <rFont val="Noto Sans CJK SC"/>
        <family val="2"/>
      </rPr>
      <t xml:space="preserve">年化估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</si>
  <si>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年化收入 </t>
    </r>
    <r>
      <rPr>
        <sz val="10"/>
        <rFont val="Arial"/>
        <family val="0"/>
        <charset val="1"/>
      </rPr>
      <t xml:space="preserve">~$200-250M(2025 run-rate·The Information </t>
    </r>
    <r>
      <rPr>
        <sz val="10"/>
        <rFont val="Noto Sans CJK SC"/>
        <family val="2"/>
      </rPr>
      <t xml:space="preserve">称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~$400-500M </t>
    </r>
    <r>
      <rPr>
        <sz val="10"/>
        <rFont val="Noto Sans CJK SC"/>
        <family val="2"/>
      </rPr>
      <t xml:space="preserve">为两倍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；幻方体内补贴、无任何公开财报；『</t>
    </r>
    <r>
      <rPr>
        <sz val="10"/>
        <rFont val="Arial"/>
        <family val="0"/>
        <charset val="1"/>
      </rPr>
      <t xml:space="preserve">545% </t>
    </r>
    <r>
      <rPr>
        <sz val="10"/>
        <rFont val="Noto Sans CJK SC"/>
        <family val="2"/>
      </rPr>
      <t xml:space="preserve">利润率』系理论推理毛利、已证伪；</t>
    </r>
    <r>
      <rPr>
        <sz val="10"/>
        <rFont val="Arial"/>
        <family val="0"/>
        <charset val="1"/>
      </rPr>
      <t xml:space="preserve">SemiAnalysis </t>
    </r>
    <r>
      <rPr>
        <sz val="10"/>
        <rFont val="Noto Sans CJK SC"/>
        <family val="2"/>
      </rPr>
      <t xml:space="preserve">旧估累计投入 </t>
    </r>
    <r>
      <rPr>
        <sz val="10"/>
        <rFont val="Arial"/>
        <family val="0"/>
        <charset val="1"/>
      </rPr>
      <t xml:space="preserve">~$1.6B(2025-02·P2)</t>
    </r>
  </si>
  <si>
    <t xml:space="preserve">类别</t>
  </si>
  <si>
    <t xml:space="preserve">内容</t>
  </si>
  <si>
    <r>
      <rPr>
        <sz val="10"/>
        <rFont val="Arial"/>
        <family val="0"/>
        <charset val="1"/>
      </rPr>
      <t xml:space="preserve">P0</t>
    </r>
    <r>
      <rPr>
        <sz val="10"/>
        <rFont val="Noto Sans CJK SC"/>
        <family val="2"/>
      </rPr>
      <t xml:space="preserve">＝审计财报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招股书</t>
    </r>
    <r>
      <rPr>
        <sz val="10"/>
        <rFont val="Arial"/>
        <family val="0"/>
        <charset val="1"/>
      </rPr>
      <t xml:space="preserve">/SEC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HKEX </t>
    </r>
    <r>
      <rPr>
        <sz val="10"/>
        <rFont val="Noto Sans CJK SC"/>
        <family val="2"/>
      </rPr>
      <t xml:space="preserve">文件；</t>
    </r>
    <r>
      <rPr>
        <sz val="10"/>
        <rFont val="Arial"/>
        <family val="0"/>
        <charset val="1"/>
      </rPr>
      <t xml:space="preserve">P1</t>
    </r>
    <r>
      <rPr>
        <sz val="10"/>
        <rFont val="Noto Sans CJK SC"/>
        <family val="2"/>
      </rPr>
      <t xml:space="preserve">＝权威财经媒体报道、公司融资披露转述、财报电话会口径；</t>
    </r>
    <r>
      <rPr>
        <sz val="10"/>
        <rFont val="Arial"/>
        <family val="0"/>
        <charset val="1"/>
      </rPr>
      <t xml:space="preserve">P2</t>
    </r>
    <r>
      <rPr>
        <sz val="10"/>
        <rFont val="Noto Sans CJK SC"/>
        <family val="2"/>
      </rPr>
      <t xml:space="preserve">＝一般媒体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第三方估计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推断。私企数据全部未经审计。</t>
    </r>
  </si>
  <si>
    <t xml:space="preserve">口径① 毛利率</t>
  </si>
  <si>
    <r>
      <rPr>
        <sz val="10"/>
        <rFont val="Noto Sans CJK SC"/>
        <family val="2"/>
      </rPr>
      <t xml:space="preserve">「毛利率（不含研发）」＝</t>
    </r>
    <r>
      <rPr>
        <sz val="10"/>
        <rFont val="Arial"/>
        <family val="0"/>
        <charset val="1"/>
      </rPr>
      <t xml:space="preserve">1−</t>
    </r>
    <r>
      <rPr>
        <sz val="10"/>
        <rFont val="Noto Sans CJK SC"/>
        <family val="2"/>
      </rPr>
      <t xml:space="preserve">营业成本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收入。仅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、智谱有干净 </t>
    </r>
    <r>
      <rPr>
        <sz val="10"/>
        <rFont val="Arial"/>
        <family val="0"/>
        <charset val="1"/>
      </rPr>
      <t xml:space="preserve">COGS </t>
    </r>
    <r>
      <rPr>
        <sz val="10"/>
        <rFont val="Noto Sans CJK SC"/>
        <family val="2"/>
      </rPr>
      <t xml:space="preserve">拆分可算；云厂商（微软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谷歌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亚马逊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阿里）分部只披露到经营利润、不披露分部毛利，其经营利润率已含研发与折旧摊薄，与实验室口径不可直接横比——本表对此一律标『—』，不做臆造换算。</t>
    </r>
  </si>
  <si>
    <t xml:space="preserve">口径② 收入</t>
  </si>
  <si>
    <r>
      <rPr>
        <sz val="10"/>
        <rFont val="Noto Sans CJK SC"/>
        <family val="2"/>
      </rPr>
      <t xml:space="preserve">实收与年化（</t>
    </r>
    <r>
      <rPr>
        <sz val="10"/>
        <rFont val="Arial"/>
        <family val="0"/>
        <charset val="1"/>
      </rPr>
      <t xml:space="preserve">run-rate</t>
    </r>
    <r>
      <rPr>
        <sz val="10"/>
        <rFont val="Noto Sans CJK SC"/>
        <family val="2"/>
      </rPr>
      <t xml:space="preserve">）严格分列：</t>
    </r>
    <r>
      <rPr>
        <sz val="10"/>
        <rFont val="Arial"/>
        <family val="0"/>
        <charset val="1"/>
      </rPr>
      <t xml:space="preserve">Anthropic/DeepSeek/</t>
    </r>
    <r>
      <rPr>
        <sz val="10"/>
        <rFont val="Noto Sans CJK SC"/>
        <family val="2"/>
      </rPr>
      <t xml:space="preserve">阿里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的年化值 ≠ 全年确认收入。</t>
    </r>
    <r>
      <rPr>
        <sz val="10"/>
        <rFont val="Arial"/>
        <family val="0"/>
        <charset val="1"/>
      </rPr>
      <t xml:space="preserve">Anthropic 2025 </t>
    </r>
    <r>
      <rPr>
        <sz val="10"/>
        <rFont val="Noto Sans CJK SC"/>
        <family val="2"/>
      </rPr>
      <t xml:space="preserve">实际确认收入未见完整披露（估 </t>
    </r>
    <r>
      <rPr>
        <sz val="10"/>
        <rFont val="Arial"/>
        <family val="0"/>
        <charset val="1"/>
      </rPr>
      <t xml:space="preserve">$4-5B·P2 </t>
    </r>
    <r>
      <rPr>
        <sz val="10"/>
        <rFont val="Noto Sans CJK SC"/>
        <family val="2"/>
      </rPr>
      <t xml:space="preserve">推断，表内未填）。</t>
    </r>
  </si>
  <si>
    <t xml:space="preserve">口径③ 电力</t>
  </si>
  <si>
    <r>
      <rPr>
        <sz val="10"/>
        <rFont val="Noto Sans CJK SC"/>
        <family val="2"/>
      </rPr>
      <t xml:space="preserve">电力成本几乎所有公司都不单列，含在数据中心租金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折旧</t>
    </r>
    <r>
      <rPr>
        <sz val="10"/>
        <rFont val="Arial"/>
        <family val="0"/>
        <charset val="1"/>
      </rPr>
      <t xml:space="preserve">/COGS </t>
    </r>
    <r>
      <rPr>
        <sz val="10"/>
        <rFont val="Noto Sans CJK SC"/>
        <family val="2"/>
      </rPr>
      <t xml:space="preserve">内——这本身是行业现状要点。唯一例外：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披露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新增电力容量 </t>
    </r>
    <r>
      <rPr>
        <sz val="10"/>
        <rFont val="Arial"/>
        <family val="0"/>
        <charset val="1"/>
      </rPr>
      <t xml:space="preserve">3.99GW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底前翻倍（容量非金额）。</t>
    </r>
  </si>
  <si>
    <t xml:space="preserve">口径④ 硬件与折旧</t>
  </si>
  <si>
    <r>
      <rPr>
        <sz val="10"/>
        <rFont val="Noto Sans CJK SC"/>
        <family val="2"/>
      </rPr>
      <t xml:space="preserve">自建派（谷歌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亚马逊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微软</t>
    </r>
    <r>
      <rPr>
        <sz val="10"/>
        <rFont val="Arial"/>
        <family val="0"/>
        <charset val="1"/>
      </rPr>
      <t xml:space="preserve">/xAI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capex→</t>
    </r>
    <r>
      <rPr>
        <sz val="10"/>
        <rFont val="Noto Sans CJK SC"/>
        <family val="2"/>
      </rPr>
      <t xml:space="preserve">折旧进成本，谷歌服务器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年折旧；租用派（</t>
    </r>
    <r>
      <rPr>
        <sz val="10"/>
        <rFont val="Arial"/>
        <family val="0"/>
        <charset val="1"/>
      </rPr>
      <t xml:space="preserve">OpenAI/Anthropic/</t>
    </r>
    <r>
      <rPr>
        <sz val="10"/>
        <rFont val="Noto Sans CJK SC"/>
        <family val="2"/>
      </rPr>
      <t xml:space="preserve">智谱</t>
    </r>
    <r>
      <rPr>
        <sz val="10"/>
        <rFont val="Arial"/>
        <family val="0"/>
        <charset val="1"/>
      </rPr>
      <t xml:space="preserve">/Kimi/DeepSeek</t>
    </r>
    <r>
      <rPr>
        <sz val="10"/>
        <rFont val="Noto Sans CJK SC"/>
        <family val="2"/>
      </rPr>
      <t xml:space="preserve">）：算力以租赁费进 </t>
    </r>
    <r>
      <rPr>
        <sz val="10"/>
        <rFont val="Arial"/>
        <family val="0"/>
        <charset val="1"/>
      </rPr>
      <t xml:space="preserve">COGS </t>
    </r>
    <r>
      <rPr>
        <sz val="10"/>
        <rFont val="Noto Sans CJK SC"/>
        <family val="2"/>
      </rPr>
      <t xml:space="preserve">或研发，无自有大额 </t>
    </r>
    <r>
      <rPr>
        <sz val="10"/>
        <rFont val="Arial"/>
        <family val="0"/>
        <charset val="1"/>
      </rPr>
      <t xml:space="preserve">capex——</t>
    </r>
    <r>
      <rPr>
        <sz val="10"/>
        <rFont val="Noto Sans CJK SC"/>
        <family val="2"/>
      </rPr>
      <t xml:space="preserve">两派成本科目结构不同，横比时注意。智谱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把固定租赁转『租赁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服务采购』后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降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，是租自混合的第三种形态。</t>
    </r>
  </si>
  <si>
    <t xml:space="preserve">口径⑤ 币种</t>
  </si>
  <si>
    <r>
      <rPr>
        <sz val="10"/>
        <rFont val="Noto Sans CJK SC"/>
        <family val="2"/>
      </rPr>
      <t xml:space="preserve">一律原币（</t>
    </r>
    <r>
      <rPr>
        <sz val="10"/>
        <rFont val="Arial"/>
        <family val="0"/>
        <charset val="1"/>
      </rPr>
      <t xml:space="preserve">USD 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RMB </t>
    </r>
    <r>
      <rPr>
        <sz val="10"/>
        <rFont val="Noto Sans CJK SC"/>
        <family val="2"/>
      </rPr>
      <t xml:space="preserve">亿）不换算，避免引入汇率假设。粗换算参考：表外自乘 </t>
    </r>
    <r>
      <rPr>
        <sz val="10"/>
        <rFont val="Arial"/>
        <family val="0"/>
        <charset val="1"/>
      </rPr>
      <t xml:space="preserve">7.1-7.2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汇率未核，使用时请自行核实）。</t>
    </r>
  </si>
  <si>
    <r>
      <rPr>
        <b val="true"/>
        <sz val="10"/>
        <rFont val="Noto Sans CJK SC"/>
        <family val="2"/>
      </rPr>
      <t xml:space="preserve">口径⑥ </t>
    </r>
    <r>
      <rPr>
        <b val="true"/>
        <sz val="10"/>
        <rFont val="Arial"/>
        <family val="0"/>
        <charset val="1"/>
      </rPr>
      <t xml:space="preserve">xAI</t>
    </r>
  </si>
  <si>
    <r>
      <rPr>
        <sz val="10"/>
        <rFont val="Arial"/>
        <family val="0"/>
        <charset val="1"/>
      </rPr>
      <t xml:space="preserve">S-1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xAI </t>
    </r>
    <r>
      <rPr>
        <sz val="10"/>
        <rFont val="Noto Sans CJK SC"/>
        <family val="2"/>
      </rPr>
      <t xml:space="preserve">分部收入含 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Twitter</t>
    </r>
    <r>
      <rPr>
        <sz val="10"/>
        <rFont val="Noto Sans CJK SC"/>
        <family val="2"/>
      </rPr>
      <t xml:space="preserve">）广告，纯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收入占少数（</t>
    </r>
    <r>
      <rPr>
        <sz val="10"/>
        <rFont val="Arial"/>
        <family val="0"/>
        <charset val="1"/>
      </rPr>
      <t xml:space="preserve">Forbes 2026-06 </t>
    </r>
    <r>
      <rPr>
        <sz val="10"/>
        <rFont val="Noto Sans CJK SC"/>
        <family val="2"/>
      </rPr>
      <t xml:space="preserve">报道）——把 </t>
    </r>
    <r>
      <rPr>
        <sz val="10"/>
        <rFont val="Arial"/>
        <family val="0"/>
        <charset val="1"/>
      </rPr>
      <t xml:space="preserve">$3.2B </t>
    </r>
    <r>
      <rPr>
        <sz val="10"/>
        <rFont val="Noto Sans CJK SC"/>
        <family val="2"/>
      </rPr>
      <t xml:space="preserve">全当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收入会严重高估。</t>
    </r>
  </si>
  <si>
    <r>
      <rPr>
        <b val="true"/>
        <sz val="10"/>
        <rFont val="Noto Sans CJK SC"/>
        <family val="2"/>
      </rPr>
      <t xml:space="preserve">口径⑦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净利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</si>
  <si>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归属净亏 </t>
    </r>
    <r>
      <rPr>
        <sz val="10"/>
        <rFont val="Arial"/>
        <family val="0"/>
        <charset val="1"/>
      </rPr>
      <t xml:space="preserve">$38.53B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$41.55B </t>
    </r>
    <r>
      <rPr>
        <sz val="10"/>
        <rFont val="Noto Sans CJK SC"/>
        <family val="2"/>
      </rPr>
      <t xml:space="preserve">非营利转营利的可转换权益公允价值一次性变动；经营亏损 </t>
    </r>
    <r>
      <rPr>
        <sz val="10"/>
        <rFont val="Arial"/>
        <family val="0"/>
        <charset val="1"/>
      </rPr>
      <t xml:space="preserve">$20.92B </t>
    </r>
    <r>
      <rPr>
        <sz val="10"/>
        <rFont val="Noto Sans CJK SC"/>
        <family val="2"/>
      </rPr>
      <t xml:space="preserve">更能反映经营性烧钱速度。</t>
    </r>
  </si>
  <si>
    <t xml:space="preserve">缺口声明</t>
  </si>
  <si>
    <r>
      <rPr>
        <sz val="10"/>
        <rFont val="Noto Sans CJK SC"/>
        <family val="2"/>
      </rPr>
      <t xml:space="preserve">未见可靠披露即留『—』，宁缺毋假：</t>
    </r>
    <r>
      <rPr>
        <sz val="10"/>
        <rFont val="Arial"/>
        <family val="0"/>
        <charset val="1"/>
      </rPr>
      <t xml:space="preserve">Anthropic 2025 </t>
    </r>
    <r>
      <rPr>
        <sz val="10"/>
        <rFont val="Noto Sans CJK SC"/>
        <family val="2"/>
      </rPr>
      <t xml:space="preserve">实收、</t>
    </r>
    <r>
      <rPr>
        <sz val="10"/>
        <rFont val="Arial"/>
        <family val="0"/>
        <charset val="1"/>
      </rPr>
      <t xml:space="preserve">Kimi </t>
    </r>
    <r>
      <rPr>
        <sz val="10"/>
        <rFont val="Noto Sans CJK SC"/>
        <family val="2"/>
      </rPr>
      <t xml:space="preserve">亏损与毛利、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全部成本科目、微软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阿里云分部毛利率、各家电力金额、</t>
    </r>
    <r>
      <rPr>
        <sz val="10"/>
        <rFont val="Arial"/>
        <family val="0"/>
        <charset val="1"/>
      </rPr>
      <t xml:space="preserve">xAI </t>
    </r>
    <r>
      <rPr>
        <sz val="10"/>
        <rFont val="Noto Sans CJK SC"/>
        <family val="2"/>
      </rPr>
      <t xml:space="preserve">毛利率。</t>
    </r>
  </si>
  <si>
    <r>
      <rPr>
        <b val="true"/>
        <sz val="10"/>
        <rFont val="Noto Sans CJK SC"/>
        <family val="2"/>
      </rPr>
      <t xml:space="preserve">信源</t>
    </r>
    <r>
      <rPr>
        <b val="true"/>
        <sz val="10"/>
        <rFont val="Arial"/>
        <family val="0"/>
        <charset val="1"/>
      </rPr>
      <t xml:space="preserve">·P0</t>
    </r>
  </si>
  <si>
    <r>
      <rPr>
        <sz val="10"/>
        <rFont val="Arial"/>
        <family val="0"/>
        <charset val="1"/>
      </rPr>
      <t xml:space="preserve">Amazon Q4/FY2025 </t>
    </r>
    <r>
      <rPr>
        <sz val="10"/>
        <rFont val="Noto Sans CJK SC"/>
        <family val="2"/>
      </rPr>
      <t xml:space="preserve">财报 </t>
    </r>
    <r>
      <rPr>
        <sz val="10"/>
        <rFont val="Arial"/>
        <family val="0"/>
        <charset val="1"/>
      </rPr>
      <t xml:space="preserve">ir.aboutamazon.com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Alphabet Q4/FY2025 8-K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SEC: googexhibit991q42025.htm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+ 10-K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Microsoft FY26Q4 IR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microsoft.com/en-us/investor</t>
    </r>
    <r>
      <rPr>
        <sz val="10"/>
        <rFont val="Noto Sans CJK SC"/>
        <family val="2"/>
      </rPr>
      <t xml:space="preserve">）｜阿里巴巴 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业绩（</t>
    </r>
    <r>
      <rPr>
        <sz val="10"/>
        <rFont val="Arial"/>
        <family val="0"/>
        <charset val="1"/>
      </rPr>
      <t xml:space="preserve">alibabagroup.com</t>
    </r>
    <r>
      <rPr>
        <sz val="10"/>
        <rFont val="Noto Sans CJK SC"/>
        <family val="2"/>
      </rPr>
      <t xml:space="preserve">）｜智谱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年报（</t>
    </r>
    <r>
      <rPr>
        <sz val="10"/>
        <rFont val="Arial"/>
        <family val="0"/>
        <charset val="1"/>
      </rPr>
      <t xml:space="preserve">HKEX 20260331 </t>
    </r>
    <r>
      <rPr>
        <sz val="10"/>
        <rFont val="Noto Sans CJK SC"/>
        <family val="2"/>
      </rPr>
      <t xml:space="preserve">公告）｜</t>
    </r>
    <r>
      <rPr>
        <sz val="10"/>
        <rFont val="Arial"/>
        <family val="0"/>
        <charset val="1"/>
      </rPr>
      <t xml:space="preserve">SpaceX/xAI S-1</t>
    </r>
    <r>
      <rPr>
        <sz val="10"/>
        <rFont val="Noto Sans CJK SC"/>
        <family val="2"/>
      </rPr>
      <t xml:space="preserve">（经 </t>
    </r>
    <r>
      <rPr>
        <sz val="10"/>
        <rFont val="Arial"/>
        <family val="0"/>
        <charset val="1"/>
      </rPr>
      <t xml:space="preserve">TechCrunch/Morningstar </t>
    </r>
    <r>
      <rPr>
        <sz val="10"/>
        <rFont val="Noto Sans CJK SC"/>
        <family val="2"/>
      </rPr>
      <t xml:space="preserve">转述，未见原文逐行核对→</t>
    </r>
    <r>
      <rPr>
        <sz val="10"/>
        <rFont val="Arial"/>
        <family val="0"/>
        <charset val="1"/>
      </rPr>
      <t xml:space="preserve">P0/P1 </t>
    </r>
    <r>
      <rPr>
        <sz val="10"/>
        <rFont val="Noto Sans CJK SC"/>
        <family val="2"/>
      </rPr>
      <t xml:space="preserve">之间）</t>
    </r>
  </si>
  <si>
    <r>
      <rPr>
        <b val="true"/>
        <sz val="10"/>
        <rFont val="Noto Sans CJK SC"/>
        <family val="2"/>
      </rPr>
      <t xml:space="preserve">信源</t>
    </r>
    <r>
      <rPr>
        <b val="true"/>
        <sz val="10"/>
        <rFont val="Arial"/>
        <family val="0"/>
        <charset val="1"/>
      </rPr>
      <t xml:space="preserve">·P1</t>
    </r>
  </si>
  <si>
    <r>
      <rPr>
        <sz val="10"/>
        <rFont val="Arial"/>
        <family val="0"/>
        <charset val="1"/>
      </rPr>
      <t xml:space="preserve">Where's Your Ed At </t>
    </r>
    <r>
      <rPr>
        <sz val="10"/>
        <rFont val="Noto Sans CJK SC"/>
        <family val="2"/>
      </rPr>
      <t xml:space="preserve">独家：</t>
    </r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财务文件（</t>
    </r>
    <r>
      <rPr>
        <sz val="10"/>
        <rFont val="Arial"/>
        <family val="0"/>
        <charset val="1"/>
      </rPr>
      <t xml:space="preserve">wheresyoured.at/exclusive-openai-financials/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AWS capex ~$125B</t>
    </r>
    <r>
      <rPr>
        <sz val="10"/>
        <rFont val="Noto Sans CJK SC"/>
        <family val="2"/>
      </rPr>
      <t xml:space="preserve">（电话会口径）｜</t>
    </r>
    <r>
      <rPr>
        <sz val="10"/>
        <rFont val="Arial"/>
        <family val="0"/>
        <charset val="1"/>
      </rPr>
      <t xml:space="preserve">Alphabet capex $91.4B/</t>
    </r>
    <r>
      <rPr>
        <sz val="10"/>
        <rFont val="Noto Sans CJK SC"/>
        <family val="2"/>
      </rPr>
      <t xml:space="preserve">折旧 </t>
    </r>
    <r>
      <rPr>
        <sz val="10"/>
        <rFont val="Arial"/>
        <family val="0"/>
        <charset val="1"/>
      </rPr>
      <t xml:space="preserve">$21.1B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10-K </t>
    </r>
    <r>
      <rPr>
        <sz val="10"/>
        <rFont val="Noto Sans CJK SC"/>
        <family val="2"/>
      </rPr>
      <t xml:space="preserve">转述</t>
    </r>
    <r>
      <rPr>
        <sz val="10"/>
        <rFont val="Arial"/>
        <family val="0"/>
        <charset val="1"/>
      </rPr>
      <t xml:space="preserve">+fool.com </t>
    </r>
    <r>
      <rPr>
        <sz val="10"/>
        <rFont val="Noto Sans CJK SC"/>
        <family val="2"/>
      </rPr>
      <t xml:space="preserve">分析）｜</t>
    </r>
    <r>
      <rPr>
        <sz val="10"/>
        <rFont val="Arial"/>
        <family val="0"/>
        <charset val="1"/>
      </rPr>
      <t xml:space="preserve">Forbes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xAI </t>
    </r>
    <r>
      <rPr>
        <sz val="10"/>
        <rFont val="Noto Sans CJK SC"/>
        <family val="2"/>
      </rPr>
      <t xml:space="preserve">收入含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广告｜</t>
    </r>
    <r>
      <rPr>
        <sz val="10"/>
        <rFont val="Arial"/>
        <family val="0"/>
        <charset val="1"/>
      </rPr>
      <t xml:space="preserve">DCD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云承诺 </t>
    </r>
    <r>
      <rPr>
        <sz val="10"/>
        <rFont val="Arial"/>
        <family val="0"/>
        <charset val="1"/>
      </rPr>
      <t xml:space="preserve">$80B</t>
    </r>
  </si>
  <si>
    <r>
      <rPr>
        <b val="true"/>
        <sz val="10"/>
        <rFont val="Noto Sans CJK SC"/>
        <family val="2"/>
      </rPr>
      <t xml:space="preserve">信源</t>
    </r>
    <r>
      <rPr>
        <b val="true"/>
        <sz val="10"/>
        <rFont val="Arial"/>
        <family val="0"/>
        <charset val="1"/>
      </rPr>
      <t xml:space="preserve">·P1/P2</t>
    </r>
  </si>
  <si>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毛利率 </t>
    </r>
    <r>
      <rPr>
        <sz val="10"/>
        <rFont val="Arial"/>
        <family val="0"/>
        <charset val="1"/>
      </rPr>
      <t xml:space="preserve">40%/44%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轨迹 </t>
    </r>
    <r>
      <rPr>
        <sz val="10"/>
        <rFont val="Arial"/>
        <family val="0"/>
        <charset val="1"/>
      </rPr>
      <t xml:space="preserve">$9B→$14B→$30B→$47B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Morningstar/SaaStr/simonwillison </t>
    </r>
    <r>
      <rPr>
        <sz val="10"/>
        <rFont val="Noto Sans CJK SC"/>
        <family val="2"/>
      </rPr>
      <t xml:space="preserve">转述 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披露；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个月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倍增速异乎寻常，可能含口径变化，谨慎引用）</t>
    </r>
  </si>
  <si>
    <r>
      <rPr>
        <b val="true"/>
        <sz val="10"/>
        <rFont val="Noto Sans CJK SC"/>
        <family val="2"/>
      </rPr>
      <t xml:space="preserve">信源</t>
    </r>
    <r>
      <rPr>
        <b val="true"/>
        <sz val="10"/>
        <rFont val="Arial"/>
        <family val="0"/>
        <charset val="1"/>
      </rPr>
      <t xml:space="preserve">·P2</t>
    </r>
  </si>
  <si>
    <r>
      <rPr>
        <sz val="10"/>
        <rFont val="Arial"/>
        <family val="0"/>
        <charset val="1"/>
      </rPr>
      <t xml:space="preserve">Kimi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¥1.18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/ARR $2</t>
    </r>
    <r>
      <rPr>
        <sz val="10"/>
        <rFont val="Noto Sans CJK SC"/>
        <family val="2"/>
      </rPr>
      <t xml:space="preserve">亿（雪球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财联社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新浪转述）；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年化 </t>
    </r>
    <r>
      <rPr>
        <sz val="10"/>
        <rFont val="Arial"/>
        <family val="0"/>
        <charset val="1"/>
      </rPr>
      <t xml:space="preserve">$400-500M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The Information/cryptobriefing</t>
    </r>
    <r>
      <rPr>
        <sz val="10"/>
        <rFont val="Noto Sans CJK SC"/>
        <family val="2"/>
      </rPr>
      <t xml:space="preserve">）；智谱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细节（华尔街见闻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虎嗅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知乎拆解）；月之暗面估值 </t>
    </r>
    <r>
      <rPr>
        <sz val="10"/>
        <rFont val="Arial"/>
        <family val="0"/>
        <charset val="1"/>
      </rPr>
      <t xml:space="preserve">$350</t>
    </r>
    <r>
      <rPr>
        <sz val="10"/>
        <rFont val="Noto Sans CJK SC"/>
        <family val="2"/>
      </rPr>
      <t xml:space="preserve">亿（华尔街见闻）</t>
    </r>
  </si>
  <si>
    <t xml:space="preserve">制作</t>
  </si>
  <si>
    <r>
      <rPr>
        <sz val="10"/>
        <rFont val="Arial"/>
        <family val="0"/>
        <charset val="1"/>
      </rPr>
      <t xml:space="preserve">CC 2026-08-10 </t>
    </r>
    <r>
      <rPr>
        <sz val="10"/>
        <rFont val="Noto Sans CJK SC"/>
        <family val="2"/>
      </rPr>
      <t xml:space="preserve">制</t>
    </r>
    <r>
      <rPr>
        <sz val="10"/>
        <rFont val="Arial"/>
        <family val="0"/>
        <charset val="1"/>
      </rPr>
      <t xml:space="preserve">·web </t>
    </r>
    <r>
      <rPr>
        <sz val="10"/>
        <rFont val="Noto Sans CJK SC"/>
        <family val="2"/>
      </rPr>
      <t xml:space="preserve">检索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原文抓取；私企数字请以『未经审计』对待；引用前建议回指上列信源再核一遍。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</si>
</sst>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9.85" hidden="false" customHeight="false" outlineLevel="0" collapsed="false">
      <c r="A2" s="2" t="s">
        <v>10</v>
      </c>
      <c r="B2" s="2" t="s">
        <v>11</v>
      </c>
      <c r="C2" s="3" t="n">
        <v>13.07</v>
      </c>
      <c r="D2" s="2" t="s">
        <v>12</v>
      </c>
      <c r="E2" s="2" t="s">
        <v>13</v>
      </c>
      <c r="F2" s="4" t="n">
        <f aca="false">成本明细!M2</f>
        <v>0.426166794185157</v>
      </c>
      <c r="G2" s="4" t="n">
        <f aca="false">成本明细!N2</f>
        <v>-1.60061208875287</v>
      </c>
      <c r="H2" s="4" t="n">
        <f aca="false">成本明细!O2</f>
        <v>-2.94797245600612</v>
      </c>
      <c r="I2" s="5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16</v>
      </c>
      <c r="C3" s="3" t="n">
        <v>3.7</v>
      </c>
      <c r="D3" s="2" t="s">
        <v>12</v>
      </c>
      <c r="E3" s="5" t="s">
        <v>17</v>
      </c>
      <c r="F3" s="4" t="n">
        <f aca="false">成本明细!M3</f>
        <v>0.283783783783784</v>
      </c>
      <c r="G3" s="4" t="n">
        <f aca="false">成本明细!N3</f>
        <v>-2.37297297297297</v>
      </c>
      <c r="H3" s="4" t="n">
        <f aca="false">成本明细!O3</f>
        <v>-1.37567567567568</v>
      </c>
      <c r="I3" s="5" t="s">
        <v>18</v>
      </c>
      <c r="J3" s="5" t="s">
        <v>17</v>
      </c>
    </row>
    <row r="4" customFormat="false" ht="44" hidden="false" customHeight="false" outlineLevel="0" collapsed="false">
      <c r="A4" s="2" t="s">
        <v>19</v>
      </c>
      <c r="B4" s="2" t="s">
        <v>20</v>
      </c>
      <c r="C4" s="3" t="n">
        <v>9</v>
      </c>
      <c r="D4" s="2" t="s">
        <v>21</v>
      </c>
      <c r="E4" s="5" t="s">
        <v>22</v>
      </c>
      <c r="F4" s="5" t="s">
        <v>23</v>
      </c>
      <c r="G4" s="2" t="s">
        <v>24</v>
      </c>
      <c r="H4" s="2" t="s">
        <v>24</v>
      </c>
      <c r="I4" s="5" t="s">
        <v>25</v>
      </c>
      <c r="J4" s="2" t="s">
        <v>26</v>
      </c>
    </row>
    <row r="5" customFormat="false" ht="29.85" hidden="false" customHeight="false" outlineLevel="0" collapsed="false">
      <c r="A5" s="2" t="s">
        <v>27</v>
      </c>
      <c r="B5" s="2" t="s">
        <v>11</v>
      </c>
      <c r="C5" s="3" t="n">
        <v>3.2</v>
      </c>
      <c r="D5" s="2" t="s">
        <v>12</v>
      </c>
      <c r="E5" s="5" t="s">
        <v>28</v>
      </c>
      <c r="F5" s="5" t="s">
        <v>29</v>
      </c>
      <c r="G5" s="4" t="n">
        <f aca="false">成本明细!N5</f>
        <v>-2</v>
      </c>
      <c r="H5" s="2" t="s">
        <v>24</v>
      </c>
      <c r="I5" s="2" t="s">
        <v>30</v>
      </c>
      <c r="J5" s="2" t="s">
        <v>31</v>
      </c>
    </row>
    <row r="6" customFormat="false" ht="29.85" hidden="false" customHeight="false" outlineLevel="0" collapsed="false">
      <c r="A6" s="2" t="s">
        <v>27</v>
      </c>
      <c r="B6" s="2" t="s">
        <v>32</v>
      </c>
      <c r="C6" s="3" t="n">
        <v>0.818</v>
      </c>
      <c r="D6" s="2" t="s">
        <v>12</v>
      </c>
      <c r="E6" s="5" t="s">
        <v>17</v>
      </c>
      <c r="F6" s="2" t="s">
        <v>24</v>
      </c>
      <c r="G6" s="4" t="n">
        <f aca="false">成本明细!N6</f>
        <v>-3.01955990220049</v>
      </c>
      <c r="H6" s="2" t="s">
        <v>24</v>
      </c>
      <c r="I6" s="5" t="s">
        <v>33</v>
      </c>
      <c r="J6" s="5" t="s">
        <v>17</v>
      </c>
    </row>
    <row r="7" customFormat="false" ht="29.85" hidden="false" customHeight="false" outlineLevel="0" collapsed="false">
      <c r="A7" s="2" t="s">
        <v>34</v>
      </c>
      <c r="B7" s="2" t="s">
        <v>11</v>
      </c>
      <c r="C7" s="3" t="n">
        <v>16</v>
      </c>
      <c r="D7" s="2" t="s">
        <v>12</v>
      </c>
      <c r="E7" s="5" t="s">
        <v>35</v>
      </c>
      <c r="F7" s="2" t="s">
        <v>24</v>
      </c>
      <c r="G7" s="2" t="s">
        <v>24</v>
      </c>
      <c r="H7" s="2" t="s">
        <v>24</v>
      </c>
      <c r="I7" s="2" t="s">
        <v>36</v>
      </c>
      <c r="J7" s="2" t="s">
        <v>37</v>
      </c>
    </row>
    <row r="8" customFormat="false" ht="44" hidden="false" customHeight="false" outlineLevel="0" collapsed="false">
      <c r="A8" s="5" t="s">
        <v>38</v>
      </c>
      <c r="B8" s="2" t="s">
        <v>39</v>
      </c>
      <c r="C8" s="3" t="n">
        <v>331.8</v>
      </c>
      <c r="D8" s="2" t="s">
        <v>12</v>
      </c>
      <c r="E8" s="2" t="s">
        <v>40</v>
      </c>
      <c r="F8" s="5" t="s">
        <v>41</v>
      </c>
      <c r="G8" s="4" t="n">
        <f aca="false">成本明细!N8</f>
        <v>0.467751657625075</v>
      </c>
      <c r="H8" s="2" t="s">
        <v>24</v>
      </c>
      <c r="I8" s="2" t="s">
        <v>42</v>
      </c>
      <c r="J8" s="2" t="s">
        <v>43</v>
      </c>
    </row>
    <row r="9" customFormat="false" ht="44" hidden="false" customHeight="false" outlineLevel="0" collapsed="false">
      <c r="A9" s="2" t="s">
        <v>44</v>
      </c>
      <c r="B9" s="2" t="s">
        <v>45</v>
      </c>
      <c r="C9" s="3" t="n">
        <v>402.8</v>
      </c>
      <c r="D9" s="2" t="s">
        <v>12</v>
      </c>
      <c r="E9" s="2" t="s">
        <v>46</v>
      </c>
      <c r="F9" s="5" t="s">
        <v>47</v>
      </c>
      <c r="G9" s="2" t="s">
        <v>24</v>
      </c>
      <c r="H9" s="4" t="n">
        <f aca="false">成本明细!O9</f>
        <v>0.328202581926514</v>
      </c>
      <c r="I9" s="2" t="s">
        <v>48</v>
      </c>
      <c r="J9" s="2" t="s">
        <v>49</v>
      </c>
    </row>
    <row r="10" customFormat="false" ht="29.85" hidden="false" customHeight="false" outlineLevel="0" collapsed="false">
      <c r="A10" s="2" t="s">
        <v>50</v>
      </c>
      <c r="B10" s="2" t="s">
        <v>45</v>
      </c>
      <c r="C10" s="3" t="n">
        <v>58.7</v>
      </c>
      <c r="D10" s="2" t="s">
        <v>12</v>
      </c>
      <c r="E10" s="2" t="s">
        <v>51</v>
      </c>
      <c r="F10" s="5" t="s">
        <v>52</v>
      </c>
      <c r="G10" s="4" t="n">
        <f aca="false">成本明细!N10</f>
        <v>0.23679727427598</v>
      </c>
      <c r="H10" s="2" t="s">
        <v>24</v>
      </c>
      <c r="I10" s="2" t="s">
        <v>53</v>
      </c>
      <c r="J10" s="2" t="s">
        <v>54</v>
      </c>
    </row>
    <row r="11" customFormat="false" ht="29.85" hidden="false" customHeight="false" outlineLevel="0" collapsed="false">
      <c r="A11" s="2" t="s">
        <v>55</v>
      </c>
      <c r="B11" s="2" t="s">
        <v>45</v>
      </c>
      <c r="C11" s="3" t="n">
        <v>716.9</v>
      </c>
      <c r="D11" s="2" t="s">
        <v>12</v>
      </c>
      <c r="E11" s="5" t="s">
        <v>56</v>
      </c>
      <c r="F11" s="2" t="s">
        <v>24</v>
      </c>
      <c r="G11" s="4" t="n">
        <f aca="false">成本明细!N11</f>
        <v>0.1115915748361</v>
      </c>
      <c r="H11" s="4" t="n">
        <f aca="false">成本明细!O11</f>
        <v>0.108383317059562</v>
      </c>
      <c r="I11" s="2" t="s">
        <v>57</v>
      </c>
      <c r="J11" s="2" t="s">
        <v>54</v>
      </c>
    </row>
    <row r="12" customFormat="false" ht="29.85" hidden="false" customHeight="false" outlineLevel="0" collapsed="false">
      <c r="A12" s="2" t="s">
        <v>58</v>
      </c>
      <c r="B12" s="2" t="s">
        <v>45</v>
      </c>
      <c r="C12" s="3" t="n">
        <v>128.7</v>
      </c>
      <c r="D12" s="2" t="s">
        <v>12</v>
      </c>
      <c r="E12" s="5" t="s">
        <v>59</v>
      </c>
      <c r="F12" s="5" t="s">
        <v>52</v>
      </c>
      <c r="G12" s="4" t="n">
        <f aca="false">成本明细!N12</f>
        <v>0.354312354312354</v>
      </c>
      <c r="H12" s="2" t="s">
        <v>24</v>
      </c>
      <c r="I12" s="2" t="s">
        <v>60</v>
      </c>
      <c r="J12" s="2" t="s">
        <v>54</v>
      </c>
    </row>
    <row r="13" customFormat="false" ht="29.85" hidden="false" customHeight="false" outlineLevel="0" collapsed="false">
      <c r="A13" s="5" t="s">
        <v>61</v>
      </c>
      <c r="B13" s="2" t="s">
        <v>62</v>
      </c>
      <c r="C13" s="3" t="n">
        <v>10236.7</v>
      </c>
      <c r="D13" s="2" t="s">
        <v>63</v>
      </c>
      <c r="E13" s="5" t="s">
        <v>64</v>
      </c>
      <c r="F13" s="2" t="s">
        <v>24</v>
      </c>
      <c r="G13" s="4" t="n">
        <f aca="false">成本明细!N13</f>
        <v>0.0489903972960036</v>
      </c>
      <c r="H13" s="4" t="n">
        <f aca="false">成本明细!O13</f>
        <v>0.0997655494446452</v>
      </c>
      <c r="I13" s="5" t="s">
        <v>65</v>
      </c>
      <c r="J13" s="2" t="s">
        <v>54</v>
      </c>
    </row>
    <row r="14" customFormat="false" ht="44" hidden="false" customHeight="false" outlineLevel="0" collapsed="false">
      <c r="A14" s="5" t="s">
        <v>66</v>
      </c>
      <c r="B14" s="2" t="s">
        <v>62</v>
      </c>
      <c r="C14" s="3" t="n">
        <v>1581.32</v>
      </c>
      <c r="D14" s="2" t="s">
        <v>63</v>
      </c>
      <c r="E14" s="5" t="s">
        <v>67</v>
      </c>
      <c r="F14" s="2" t="s">
        <v>24</v>
      </c>
      <c r="G14" s="5" t="s">
        <v>68</v>
      </c>
      <c r="H14" s="2" t="s">
        <v>24</v>
      </c>
      <c r="I14" s="5" t="s">
        <v>69</v>
      </c>
      <c r="J14" s="2" t="s">
        <v>54</v>
      </c>
    </row>
    <row r="15" customFormat="false" ht="44" hidden="false" customHeight="false" outlineLevel="0" collapsed="false">
      <c r="A15" s="5" t="s">
        <v>70</v>
      </c>
      <c r="B15" s="2" t="s">
        <v>11</v>
      </c>
      <c r="C15" s="3" t="n">
        <v>7.24</v>
      </c>
      <c r="D15" s="2" t="s">
        <v>63</v>
      </c>
      <c r="E15" s="5" t="s">
        <v>71</v>
      </c>
      <c r="F15" s="4" t="n">
        <f aca="false">成本明细!M15</f>
        <v>0.410220994475138</v>
      </c>
      <c r="G15" s="2" t="s">
        <v>24</v>
      </c>
      <c r="H15" s="4" t="n">
        <f aca="false">成本明细!O15</f>
        <v>-6.51657458563536</v>
      </c>
      <c r="I15" s="5" t="s">
        <v>72</v>
      </c>
      <c r="J15" s="2" t="s">
        <v>73</v>
      </c>
    </row>
    <row r="16" customFormat="false" ht="44" hidden="false" customHeight="false" outlineLevel="0" collapsed="false">
      <c r="A16" s="5" t="s">
        <v>74</v>
      </c>
      <c r="B16" s="2" t="s">
        <v>11</v>
      </c>
      <c r="C16" s="3" t="n">
        <v>1.18</v>
      </c>
      <c r="D16" s="2" t="s">
        <v>63</v>
      </c>
      <c r="E16" s="2" t="s">
        <v>75</v>
      </c>
      <c r="F16" s="2" t="s">
        <v>24</v>
      </c>
      <c r="G16" s="2" t="s">
        <v>24</v>
      </c>
      <c r="H16" s="2" t="s">
        <v>24</v>
      </c>
      <c r="I16" s="2" t="s">
        <v>76</v>
      </c>
      <c r="J16" s="2" t="s">
        <v>77</v>
      </c>
    </row>
    <row r="17" customFormat="false" ht="44" hidden="false" customHeight="false" outlineLevel="0" collapsed="false">
      <c r="A17" s="2" t="s">
        <v>78</v>
      </c>
      <c r="B17" s="2" t="s">
        <v>79</v>
      </c>
      <c r="C17" s="6" t="s">
        <v>80</v>
      </c>
      <c r="D17" s="2" t="s">
        <v>81</v>
      </c>
      <c r="E17" s="2" t="s">
        <v>82</v>
      </c>
      <c r="F17" s="2" t="s">
        <v>24</v>
      </c>
      <c r="G17" s="2" t="s">
        <v>24</v>
      </c>
      <c r="H17" s="2" t="s">
        <v>24</v>
      </c>
      <c r="I17" s="5" t="s">
        <v>83</v>
      </c>
      <c r="J17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10" min="6" style="0" width="10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70"/>
  </cols>
  <sheetData>
    <row r="1" customFormat="false" ht="29.85" hidden="false" customHeight="false" outlineLevel="0" collapsed="false">
      <c r="A1" s="1" t="s">
        <v>0</v>
      </c>
      <c r="B1" s="1" t="s">
        <v>85</v>
      </c>
      <c r="C1" s="1" t="s">
        <v>86</v>
      </c>
      <c r="D1" s="1" t="s">
        <v>2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7" t="s">
        <v>93</v>
      </c>
      <c r="L1" s="1" t="s">
        <v>94</v>
      </c>
      <c r="M1" s="1" t="s">
        <v>5</v>
      </c>
      <c r="N1" s="1" t="s">
        <v>6</v>
      </c>
      <c r="O1" s="1" t="s">
        <v>7</v>
      </c>
      <c r="P1" s="1" t="s">
        <v>95</v>
      </c>
    </row>
    <row r="2" customFormat="false" ht="29.8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13.07</v>
      </c>
      <c r="E2" s="3" t="n">
        <v>7.5</v>
      </c>
      <c r="F2" s="3" t="n">
        <v>19.18</v>
      </c>
      <c r="G2" s="3" t="n">
        <v>5.73</v>
      </c>
      <c r="H2" s="3" t="n">
        <v>1.57</v>
      </c>
      <c r="I2" s="3" t="n">
        <v>-20.92</v>
      </c>
      <c r="J2" s="3" t="n">
        <v>-38.53</v>
      </c>
      <c r="K2" s="3"/>
      <c r="L2" s="3"/>
      <c r="M2" s="4" t="n">
        <f aca="false">IF(OR(ISBLANK(D2),ISBLANK(E2)),"—",1-E2/D2)</f>
        <v>0.426166794185157</v>
      </c>
      <c r="N2" s="4" t="n">
        <f aca="false">IF(OR(ISBLANK(D2),ISBLANK(I2)),"—",I2/D2)</f>
        <v>-1.60061208875287</v>
      </c>
      <c r="O2" s="4" t="n">
        <f aca="false">IF(OR(ISBLANK(D2),ISBLANK(J2)),"—",J2/D2)</f>
        <v>-2.94797245600612</v>
      </c>
      <c r="P2" s="5" t="s">
        <v>96</v>
      </c>
    </row>
    <row r="3" customFormat="false" ht="15" hidden="false" customHeight="false" outlineLevel="0" collapsed="false">
      <c r="A3" s="2" t="s">
        <v>10</v>
      </c>
      <c r="B3" s="2" t="s">
        <v>16</v>
      </c>
      <c r="C3" s="2" t="s">
        <v>12</v>
      </c>
      <c r="D3" s="3" t="n">
        <v>3.7</v>
      </c>
      <c r="E3" s="3" t="n">
        <v>2.65</v>
      </c>
      <c r="F3" s="3" t="n">
        <v>7.81</v>
      </c>
      <c r="G3" s="3" t="n">
        <v>1.11</v>
      </c>
      <c r="H3" s="3" t="n">
        <v>0.907</v>
      </c>
      <c r="I3" s="3" t="n">
        <v>-8.78</v>
      </c>
      <c r="J3" s="3" t="n">
        <v>-5.09</v>
      </c>
      <c r="K3" s="3"/>
      <c r="L3" s="3"/>
      <c r="M3" s="4" t="n">
        <f aca="false">IF(OR(ISBLANK(D3),ISBLANK(E3)),"—",1-E3/D3)</f>
        <v>0.283783783783784</v>
      </c>
      <c r="N3" s="4" t="n">
        <f aca="false">IF(OR(ISBLANK(D3),ISBLANK(I3)),"—",I3/D3)</f>
        <v>-2.37297297297297</v>
      </c>
      <c r="O3" s="4" t="n">
        <f aca="false">IF(OR(ISBLANK(D3),ISBLANK(J3)),"—",J3/D3)</f>
        <v>-1.37567567567568</v>
      </c>
      <c r="P3" s="2"/>
    </row>
    <row r="4" customFormat="false" ht="41" hidden="false" customHeight="false" outlineLevel="0" collapsed="false">
      <c r="A4" s="2" t="s">
        <v>19</v>
      </c>
      <c r="B4" s="2" t="s">
        <v>97</v>
      </c>
      <c r="C4" s="2" t="s">
        <v>21</v>
      </c>
      <c r="D4" s="3" t="n">
        <v>9</v>
      </c>
      <c r="E4" s="3"/>
      <c r="F4" s="3"/>
      <c r="G4" s="3"/>
      <c r="H4" s="3"/>
      <c r="I4" s="3"/>
      <c r="J4" s="3"/>
      <c r="K4" s="3"/>
      <c r="L4" s="3"/>
      <c r="M4" s="4" t="str">
        <f aca="false">IF(OR(ISBLANK(D4),ISBLANK(E4)),"—",1-E4/D4)</f>
        <v>—</v>
      </c>
      <c r="N4" s="4" t="str">
        <f aca="false">IF(OR(ISBLANK(D4),ISBLANK(I4)),"—",I4/D4)</f>
        <v>—</v>
      </c>
      <c r="O4" s="4" t="str">
        <f aca="false">IF(OR(ISBLANK(D4),ISBLANK(J4)),"—",J4/D4)</f>
        <v>—</v>
      </c>
      <c r="P4" s="5" t="s">
        <v>98</v>
      </c>
    </row>
    <row r="5" customFormat="false" ht="15" hidden="false" customHeight="false" outlineLevel="0" collapsed="false">
      <c r="A5" s="2" t="s">
        <v>99</v>
      </c>
      <c r="B5" s="2" t="s">
        <v>11</v>
      </c>
      <c r="C5" s="2" t="s">
        <v>12</v>
      </c>
      <c r="D5" s="3" t="n">
        <v>3.2</v>
      </c>
      <c r="E5" s="3"/>
      <c r="F5" s="3"/>
      <c r="G5" s="3"/>
      <c r="H5" s="3"/>
      <c r="I5" s="3" t="n">
        <v>-6.4</v>
      </c>
      <c r="J5" s="3"/>
      <c r="K5" s="3" t="n">
        <v>12.7</v>
      </c>
      <c r="L5" s="3"/>
      <c r="M5" s="4" t="str">
        <f aca="false">IF(OR(ISBLANK(D5),ISBLANK(E5)),"—",1-E5/D5)</f>
        <v>—</v>
      </c>
      <c r="N5" s="4" t="n">
        <f aca="false">IF(OR(ISBLANK(D5),ISBLANK(I5)),"—",I5/D5)</f>
        <v>-2</v>
      </c>
      <c r="O5" s="4" t="str">
        <f aca="false">IF(OR(ISBLANK(D5),ISBLANK(J5)),"—",J5/D5)</f>
        <v>—</v>
      </c>
      <c r="P5" s="5" t="s">
        <v>100</v>
      </c>
    </row>
    <row r="6" customFormat="false" ht="15" hidden="false" customHeight="false" outlineLevel="0" collapsed="false">
      <c r="A6" s="2" t="s">
        <v>99</v>
      </c>
      <c r="B6" s="2" t="s">
        <v>101</v>
      </c>
      <c r="C6" s="2" t="s">
        <v>12</v>
      </c>
      <c r="D6" s="3" t="n">
        <v>0.818</v>
      </c>
      <c r="E6" s="3"/>
      <c r="F6" s="3"/>
      <c r="G6" s="3"/>
      <c r="H6" s="3"/>
      <c r="I6" s="3" t="n">
        <v>-2.47</v>
      </c>
      <c r="J6" s="3"/>
      <c r="K6" s="3" t="n">
        <v>7.7</v>
      </c>
      <c r="L6" s="3"/>
      <c r="M6" s="4" t="str">
        <f aca="false">IF(OR(ISBLANK(D6),ISBLANK(E6)),"—",1-E6/D6)</f>
        <v>—</v>
      </c>
      <c r="N6" s="4" t="n">
        <f aca="false">IF(OR(ISBLANK(D6),ISBLANK(I6)),"—",I6/D6)</f>
        <v>-3.01955990220049</v>
      </c>
      <c r="O6" s="4" t="str">
        <f aca="false">IF(OR(ISBLANK(D6),ISBLANK(J6)),"—",J6/D6)</f>
        <v>—</v>
      </c>
      <c r="P6" s="2" t="s">
        <v>102</v>
      </c>
    </row>
    <row r="7" customFormat="false" ht="29.85" hidden="false" customHeight="false" outlineLevel="0" collapsed="false">
      <c r="A7" s="2" t="s">
        <v>34</v>
      </c>
      <c r="B7" s="2" t="s">
        <v>11</v>
      </c>
      <c r="C7" s="2" t="s">
        <v>12</v>
      </c>
      <c r="D7" s="3" t="n">
        <v>16</v>
      </c>
      <c r="E7" s="3"/>
      <c r="F7" s="3"/>
      <c r="G7" s="3"/>
      <c r="H7" s="3"/>
      <c r="I7" s="3"/>
      <c r="J7" s="3"/>
      <c r="K7" s="3"/>
      <c r="L7" s="3"/>
      <c r="M7" s="4" t="str">
        <f aca="false">IF(OR(ISBLANK(D7),ISBLANK(E7)),"—",1-E7/D7)</f>
        <v>—</v>
      </c>
      <c r="N7" s="4" t="str">
        <f aca="false">IF(OR(ISBLANK(D7),ISBLANK(I7)),"—",I7/D7)</f>
        <v>—</v>
      </c>
      <c r="O7" s="4" t="str">
        <f aca="false">IF(OR(ISBLANK(D7),ISBLANK(J7)),"—",J7/D7)</f>
        <v>—</v>
      </c>
      <c r="P7" s="2" t="s">
        <v>103</v>
      </c>
    </row>
    <row r="8" customFormat="false" ht="29.85" hidden="false" customHeight="false" outlineLevel="0" collapsed="false">
      <c r="A8" s="5" t="s">
        <v>104</v>
      </c>
      <c r="B8" s="2" t="s">
        <v>105</v>
      </c>
      <c r="C8" s="2" t="s">
        <v>12</v>
      </c>
      <c r="D8" s="3" t="n">
        <v>331.8</v>
      </c>
      <c r="E8" s="3"/>
      <c r="F8" s="3"/>
      <c r="G8" s="3"/>
      <c r="H8" s="3"/>
      <c r="I8" s="3" t="n">
        <v>155.2</v>
      </c>
      <c r="J8" s="3"/>
      <c r="K8" s="3" t="n">
        <v>115.9</v>
      </c>
      <c r="L8" s="3"/>
      <c r="M8" s="4" t="str">
        <f aca="false">IF(OR(ISBLANK(D8),ISBLANK(E8)),"—",1-E8/D8)</f>
        <v>—</v>
      </c>
      <c r="N8" s="4" t="n">
        <f aca="false">IF(OR(ISBLANK(D8),ISBLANK(I8)),"—",I8/D8)</f>
        <v>0.467751657625075</v>
      </c>
      <c r="O8" s="4" t="str">
        <f aca="false">IF(OR(ISBLANK(D8),ISBLANK(J8)),"—",J8/D8)</f>
        <v>—</v>
      </c>
      <c r="P8" s="2" t="s">
        <v>106</v>
      </c>
    </row>
    <row r="9" customFormat="false" ht="29.85" hidden="false" customHeight="false" outlineLevel="0" collapsed="false">
      <c r="A9" s="2" t="s">
        <v>107</v>
      </c>
      <c r="B9" s="2" t="s">
        <v>45</v>
      </c>
      <c r="C9" s="2" t="s">
        <v>12</v>
      </c>
      <c r="D9" s="3" t="n">
        <v>402.8</v>
      </c>
      <c r="E9" s="3"/>
      <c r="F9" s="3"/>
      <c r="G9" s="3"/>
      <c r="H9" s="3"/>
      <c r="I9" s="3"/>
      <c r="J9" s="3" t="n">
        <v>132.2</v>
      </c>
      <c r="K9" s="3" t="n">
        <v>91.4</v>
      </c>
      <c r="L9" s="3" t="n">
        <v>21.1</v>
      </c>
      <c r="M9" s="4" t="str">
        <f aca="false">IF(OR(ISBLANK(D9),ISBLANK(E9)),"—",1-E9/D9)</f>
        <v>—</v>
      </c>
      <c r="N9" s="4" t="str">
        <f aca="false">IF(OR(ISBLANK(D9),ISBLANK(I9)),"—",I9/D9)</f>
        <v>—</v>
      </c>
      <c r="O9" s="4" t="n">
        <f aca="false">IF(OR(ISBLANK(D9),ISBLANK(J9)),"—",J9/D9)</f>
        <v>0.328202581926514</v>
      </c>
      <c r="P9" s="2" t="s">
        <v>108</v>
      </c>
    </row>
    <row r="10" customFormat="false" ht="29.85" hidden="false" customHeight="false" outlineLevel="0" collapsed="false">
      <c r="A10" s="2" t="s">
        <v>50</v>
      </c>
      <c r="B10" s="2" t="s">
        <v>45</v>
      </c>
      <c r="C10" s="2" t="s">
        <v>12</v>
      </c>
      <c r="D10" s="3" t="n">
        <v>58.7</v>
      </c>
      <c r="E10" s="3"/>
      <c r="F10" s="3"/>
      <c r="G10" s="3"/>
      <c r="H10" s="3"/>
      <c r="I10" s="3" t="n">
        <v>13.9</v>
      </c>
      <c r="J10" s="3"/>
      <c r="K10" s="3"/>
      <c r="L10" s="3"/>
      <c r="M10" s="4" t="str">
        <f aca="false">IF(OR(ISBLANK(D10),ISBLANK(E10)),"—",1-E10/D10)</f>
        <v>—</v>
      </c>
      <c r="N10" s="4" t="n">
        <f aca="false">IF(OR(ISBLANK(D10),ISBLANK(I10)),"—",I10/D10)</f>
        <v>0.23679727427598</v>
      </c>
      <c r="O10" s="4" t="str">
        <f aca="false">IF(OR(ISBLANK(D10),ISBLANK(J10)),"—",J10/D10)</f>
        <v>—</v>
      </c>
      <c r="P10" s="5" t="s">
        <v>109</v>
      </c>
    </row>
    <row r="11" customFormat="false" ht="15" hidden="false" customHeight="false" outlineLevel="0" collapsed="false">
      <c r="A11" s="2" t="s">
        <v>110</v>
      </c>
      <c r="B11" s="2" t="s">
        <v>45</v>
      </c>
      <c r="C11" s="2" t="s">
        <v>12</v>
      </c>
      <c r="D11" s="3" t="n">
        <v>716.9</v>
      </c>
      <c r="E11" s="3"/>
      <c r="F11" s="3"/>
      <c r="G11" s="3"/>
      <c r="H11" s="3"/>
      <c r="I11" s="3" t="n">
        <v>80</v>
      </c>
      <c r="J11" s="3" t="n">
        <v>77.7</v>
      </c>
      <c r="K11" s="3" t="n">
        <v>125</v>
      </c>
      <c r="L11" s="3"/>
      <c r="M11" s="4" t="str">
        <f aca="false">IF(OR(ISBLANK(D11),ISBLANK(E11)),"—",1-E11/D11)</f>
        <v>—</v>
      </c>
      <c r="N11" s="4" t="n">
        <f aca="false">IF(OR(ISBLANK(D11),ISBLANK(I11)),"—",I11/D11)</f>
        <v>0.1115915748361</v>
      </c>
      <c r="O11" s="4" t="n">
        <f aca="false">IF(OR(ISBLANK(D11),ISBLANK(J11)),"—",J11/D11)</f>
        <v>0.108383317059562</v>
      </c>
      <c r="P11" s="2" t="s">
        <v>111</v>
      </c>
    </row>
    <row r="12" customFormat="false" ht="29.85" hidden="false" customHeight="false" outlineLevel="0" collapsed="false">
      <c r="A12" s="2" t="s">
        <v>58</v>
      </c>
      <c r="B12" s="2" t="s">
        <v>45</v>
      </c>
      <c r="C12" s="2" t="s">
        <v>12</v>
      </c>
      <c r="D12" s="3" t="n">
        <v>128.7</v>
      </c>
      <c r="E12" s="3"/>
      <c r="F12" s="3"/>
      <c r="G12" s="3"/>
      <c r="H12" s="3"/>
      <c r="I12" s="3" t="n">
        <v>45.6</v>
      </c>
      <c r="J12" s="3"/>
      <c r="K12" s="3"/>
      <c r="L12" s="3"/>
      <c r="M12" s="4" t="str">
        <f aca="false">IF(OR(ISBLANK(D12),ISBLANK(E12)),"—",1-E12/D12)</f>
        <v>—</v>
      </c>
      <c r="N12" s="4" t="n">
        <f aca="false">IF(OR(ISBLANK(D12),ISBLANK(I12)),"—",I12/D12)</f>
        <v>0.354312354312354</v>
      </c>
      <c r="O12" s="4" t="str">
        <f aca="false">IF(OR(ISBLANK(D12),ISBLANK(J12)),"—",J12/D12)</f>
        <v>—</v>
      </c>
      <c r="P12" s="2" t="s">
        <v>112</v>
      </c>
    </row>
    <row r="13" customFormat="false" ht="29.85" hidden="false" customHeight="false" outlineLevel="0" collapsed="false">
      <c r="A13" s="5" t="s">
        <v>113</v>
      </c>
      <c r="B13" s="2" t="s">
        <v>114</v>
      </c>
      <c r="C13" s="2" t="s">
        <v>63</v>
      </c>
      <c r="D13" s="3" t="n">
        <v>10236.7</v>
      </c>
      <c r="E13" s="3"/>
      <c r="F13" s="3"/>
      <c r="G13" s="3"/>
      <c r="H13" s="3"/>
      <c r="I13" s="3" t="n">
        <v>501.5</v>
      </c>
      <c r="J13" s="3" t="n">
        <v>1021.27</v>
      </c>
      <c r="K13" s="3"/>
      <c r="L13" s="3"/>
      <c r="M13" s="4" t="str">
        <f aca="false">IF(OR(ISBLANK(D13),ISBLANK(E13)),"—",1-E13/D13)</f>
        <v>—</v>
      </c>
      <c r="N13" s="4" t="n">
        <f aca="false">IF(OR(ISBLANK(D13),ISBLANK(I13)),"—",I13/D13)</f>
        <v>0.0489903972960036</v>
      </c>
      <c r="O13" s="4" t="n">
        <f aca="false">IF(OR(ISBLANK(D13),ISBLANK(J13)),"—",J13/D13)</f>
        <v>0.0997655494446452</v>
      </c>
      <c r="P13" s="5" t="s">
        <v>115</v>
      </c>
    </row>
    <row r="14" customFormat="false" ht="44" hidden="false" customHeight="false" outlineLevel="0" collapsed="false">
      <c r="A14" s="5" t="s">
        <v>66</v>
      </c>
      <c r="B14" s="2" t="s">
        <v>114</v>
      </c>
      <c r="C14" s="2" t="s">
        <v>63</v>
      </c>
      <c r="D14" s="3" t="n">
        <v>1581.32</v>
      </c>
      <c r="E14" s="3"/>
      <c r="F14" s="3"/>
      <c r="G14" s="3"/>
      <c r="H14" s="3"/>
      <c r="I14" s="3"/>
      <c r="J14" s="3"/>
      <c r="K14" s="3"/>
      <c r="L14" s="3"/>
      <c r="M14" s="4" t="str">
        <f aca="false">IF(OR(ISBLANK(D14),ISBLANK(E14)),"—",1-E14/D14)</f>
        <v>—</v>
      </c>
      <c r="N14" s="4" t="str">
        <f aca="false">IF(OR(ISBLANK(D14),ISBLANK(I14)),"—",I14/D14)</f>
        <v>—</v>
      </c>
      <c r="O14" s="4" t="str">
        <f aca="false">IF(OR(ISBLANK(D14),ISBLANK(J14)),"—",J14/D14)</f>
        <v>—</v>
      </c>
      <c r="P14" s="5" t="s">
        <v>116</v>
      </c>
    </row>
    <row r="15" customFormat="false" ht="44" hidden="false" customHeight="false" outlineLevel="0" collapsed="false">
      <c r="A15" s="5" t="s">
        <v>117</v>
      </c>
      <c r="B15" s="2" t="s">
        <v>11</v>
      </c>
      <c r="C15" s="2" t="s">
        <v>63</v>
      </c>
      <c r="D15" s="3" t="n">
        <v>7.24</v>
      </c>
      <c r="E15" s="3" t="n">
        <v>4.27</v>
      </c>
      <c r="F15" s="3" t="n">
        <v>31.8</v>
      </c>
      <c r="G15" s="3"/>
      <c r="H15" s="3"/>
      <c r="I15" s="3"/>
      <c r="J15" s="3" t="n">
        <v>-47.18</v>
      </c>
      <c r="K15" s="3" t="n">
        <v>0.747</v>
      </c>
      <c r="L15" s="3"/>
      <c r="M15" s="4" t="n">
        <f aca="false">IF(OR(ISBLANK(D15),ISBLANK(E15)),"—",1-E15/D15)</f>
        <v>0.410220994475138</v>
      </c>
      <c r="N15" s="4" t="str">
        <f aca="false">IF(OR(ISBLANK(D15),ISBLANK(I15)),"—",I15/D15)</f>
        <v>—</v>
      </c>
      <c r="O15" s="4" t="n">
        <f aca="false">IF(OR(ISBLANK(D15),ISBLANK(J15)),"—",J15/D15)</f>
        <v>-6.51657458563536</v>
      </c>
      <c r="P15" s="5" t="s">
        <v>118</v>
      </c>
    </row>
    <row r="16" customFormat="false" ht="29.85" hidden="false" customHeight="false" outlineLevel="0" collapsed="false">
      <c r="A16" s="5" t="s">
        <v>119</v>
      </c>
      <c r="B16" s="2" t="s">
        <v>11</v>
      </c>
      <c r="C16" s="2" t="s">
        <v>63</v>
      </c>
      <c r="D16" s="3" t="n">
        <v>1.18</v>
      </c>
      <c r="E16" s="3"/>
      <c r="F16" s="3"/>
      <c r="G16" s="3"/>
      <c r="H16" s="3"/>
      <c r="I16" s="3"/>
      <c r="J16" s="3"/>
      <c r="K16" s="3"/>
      <c r="L16" s="3"/>
      <c r="M16" s="4" t="str">
        <f aca="false">IF(OR(ISBLANK(D16),ISBLANK(E16)),"—",1-E16/D16)</f>
        <v>—</v>
      </c>
      <c r="N16" s="4" t="str">
        <f aca="false">IF(OR(ISBLANK(D16),ISBLANK(I16)),"—",I16/D16)</f>
        <v>—</v>
      </c>
      <c r="O16" s="4" t="str">
        <f aca="false">IF(OR(ISBLANK(D16),ISBLANK(J16)),"—",J16/D16)</f>
        <v>—</v>
      </c>
      <c r="P16" s="5" t="s">
        <v>120</v>
      </c>
    </row>
    <row r="17" customFormat="false" ht="44" hidden="false" customHeight="false" outlineLevel="0" collapsed="false">
      <c r="A17" s="2" t="s">
        <v>78</v>
      </c>
      <c r="B17" s="2" t="s">
        <v>121</v>
      </c>
      <c r="C17" s="2" t="s">
        <v>12</v>
      </c>
      <c r="D17" s="3"/>
      <c r="E17" s="3"/>
      <c r="F17" s="3"/>
      <c r="G17" s="3"/>
      <c r="H17" s="3"/>
      <c r="I17" s="3"/>
      <c r="J17" s="3"/>
      <c r="K17" s="3"/>
      <c r="L17" s="3"/>
      <c r="M17" s="4" t="str">
        <f aca="false">IF(OR(ISBLANK(D17),ISBLANK(E17)),"—",1-E17/D17)</f>
        <v>—</v>
      </c>
      <c r="N17" s="4" t="str">
        <f aca="false">IF(OR(ISBLANK(D17),ISBLANK(I17)),"—",I17/D17)</f>
        <v>—</v>
      </c>
      <c r="O17" s="4" t="str">
        <f aca="false">IF(OR(ISBLANK(D17),ISBLANK(J17)),"—",J17/D17)</f>
        <v>—</v>
      </c>
      <c r="P17" s="5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0"/>
  </cols>
  <sheetData>
    <row r="1" customFormat="false" ht="15" hidden="false" customHeight="false" outlineLevel="0" collapsed="false">
      <c r="A1" s="1" t="s">
        <v>123</v>
      </c>
      <c r="B1" s="1" t="s">
        <v>124</v>
      </c>
    </row>
    <row r="2" customFormat="false" ht="15" hidden="false" customHeight="false" outlineLevel="0" collapsed="false">
      <c r="A2" s="8" t="s">
        <v>9</v>
      </c>
      <c r="B2" s="2" t="s">
        <v>125</v>
      </c>
    </row>
    <row r="3" customFormat="false" ht="29.85" hidden="false" customHeight="false" outlineLevel="0" collapsed="false">
      <c r="A3" s="8" t="s">
        <v>126</v>
      </c>
      <c r="B3" s="5" t="s">
        <v>127</v>
      </c>
    </row>
    <row r="4" customFormat="false" ht="15" hidden="false" customHeight="false" outlineLevel="0" collapsed="false">
      <c r="A4" s="8" t="s">
        <v>128</v>
      </c>
      <c r="B4" s="5" t="s">
        <v>129</v>
      </c>
    </row>
    <row r="5" customFormat="false" ht="15" hidden="false" customHeight="false" outlineLevel="0" collapsed="false">
      <c r="A5" s="8" t="s">
        <v>130</v>
      </c>
      <c r="B5" s="5" t="s">
        <v>131</v>
      </c>
    </row>
    <row r="6" customFormat="false" ht="29.85" hidden="false" customHeight="false" outlineLevel="0" collapsed="false">
      <c r="A6" s="8" t="s">
        <v>132</v>
      </c>
      <c r="B6" s="5" t="s">
        <v>133</v>
      </c>
    </row>
    <row r="7" customFormat="false" ht="15" hidden="false" customHeight="false" outlineLevel="0" collapsed="false">
      <c r="A7" s="8" t="s">
        <v>134</v>
      </c>
      <c r="B7" s="5" t="s">
        <v>135</v>
      </c>
    </row>
    <row r="8" customFormat="false" ht="15" hidden="false" customHeight="false" outlineLevel="0" collapsed="false">
      <c r="A8" s="8" t="s">
        <v>136</v>
      </c>
      <c r="B8" s="2" t="s">
        <v>137</v>
      </c>
    </row>
    <row r="9" customFormat="false" ht="29.85" hidden="false" customHeight="false" outlineLevel="0" collapsed="false">
      <c r="A9" s="8" t="s">
        <v>138</v>
      </c>
      <c r="B9" s="2" t="s">
        <v>139</v>
      </c>
    </row>
    <row r="10" customFormat="false" ht="15" hidden="false" customHeight="false" outlineLevel="0" collapsed="false">
      <c r="A10" s="8" t="s">
        <v>140</v>
      </c>
      <c r="B10" s="5" t="s">
        <v>141</v>
      </c>
    </row>
    <row r="11" customFormat="false" ht="29.85" hidden="false" customHeight="false" outlineLevel="0" collapsed="false">
      <c r="A11" s="8" t="s">
        <v>142</v>
      </c>
      <c r="B11" s="2" t="s">
        <v>143</v>
      </c>
    </row>
    <row r="12" customFormat="false" ht="29.85" hidden="false" customHeight="false" outlineLevel="0" collapsed="false">
      <c r="A12" s="8" t="s">
        <v>144</v>
      </c>
      <c r="B12" s="2" t="s">
        <v>145</v>
      </c>
    </row>
    <row r="13" customFormat="false" ht="15" hidden="false" customHeight="false" outlineLevel="0" collapsed="false">
      <c r="A13" s="8" t="s">
        <v>146</v>
      </c>
      <c r="B13" s="2" t="s">
        <v>147</v>
      </c>
    </row>
    <row r="14" customFormat="false" ht="29.85" hidden="false" customHeight="false" outlineLevel="0" collapsed="false">
      <c r="A14" s="8" t="s">
        <v>148</v>
      </c>
      <c r="B14" s="2" t="s">
        <v>149</v>
      </c>
    </row>
    <row r="15" customFormat="false" ht="15" hidden="false" customHeight="false" outlineLevel="0" collapsed="false">
      <c r="A15" s="8" t="s">
        <v>150</v>
      </c>
      <c r="B15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2026-08-10T07:58:50Z</dcterms:created>
  <dc:creator>openpyxl</dc:creator>
  <dc:description/>
  <dc:language>en-US</dc:language>
  <cp:lastModifiedBy/>
  <dcterms:modified xsi:type="dcterms:W3CDTF">2026-08-10T07:58:50Z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